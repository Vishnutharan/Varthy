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th\OneDrive\Desktop\importn\results\"/>
    </mc:Choice>
  </mc:AlternateContent>
  <xr:revisionPtr revIDLastSave="0" documentId="13_ncr:1_{31CEFE2C-23C3-47C6-B477-8B3A300AB1E6}" xr6:coauthVersionLast="47" xr6:coauthVersionMax="47" xr10:uidLastSave="{00000000-0000-0000-0000-000000000000}"/>
  <bookViews>
    <workbookView xWindow="-108" yWindow="-108" windowWidth="23256" windowHeight="12456" tabRatio="850" firstSheet="8" activeTab="12" xr2:uid="{05FE936A-85DA-4735-817B-A46FE303A7B9}"/>
  </bookViews>
  <sheets>
    <sheet name="week 1" sheetId="2" r:id="rId1"/>
    <sheet name="week 2" sheetId="3" r:id="rId2"/>
    <sheet name="week 3" sheetId="4" r:id="rId3"/>
    <sheet name="week 4" sheetId="6" r:id="rId4"/>
    <sheet name="week 5" sheetId="9" r:id="rId5"/>
    <sheet name="week 6" sheetId="13" r:id="rId6"/>
    <sheet name="week 7" sheetId="8" r:id="rId7"/>
    <sheet name="week 8" sheetId="12" r:id="rId8"/>
    <sheet name="growth " sheetId="14" r:id="rId9"/>
    <sheet name="LOI" sheetId="10" r:id="rId10"/>
    <sheet name="proxymate analysis " sheetId="15" r:id="rId11"/>
    <sheet name="sea cucumber growth " sheetId="16" r:id="rId12"/>
    <sheet name="sea weed growth" sheetId="17" r:id="rId13"/>
    <sheet name="water quality" sheetId="18" r:id="rId14"/>
    <sheet name="soil " sheetId="31" r:id="rId15"/>
    <sheet name="proximte anaysiz" sheetId="3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1" l="1"/>
  <c r="J25" i="31"/>
  <c r="H25" i="31"/>
  <c r="G25" i="31"/>
  <c r="F25" i="31"/>
  <c r="E25" i="31"/>
  <c r="D25" i="31"/>
  <c r="C25" i="31"/>
  <c r="K24" i="31"/>
  <c r="J24" i="31"/>
  <c r="H24" i="31"/>
  <c r="G24" i="31"/>
  <c r="F24" i="31"/>
  <c r="E24" i="31"/>
  <c r="D24" i="31"/>
  <c r="C24" i="31"/>
  <c r="K20" i="31"/>
  <c r="J20" i="31"/>
  <c r="H20" i="31"/>
  <c r="G20" i="31"/>
  <c r="F20" i="31"/>
  <c r="E20" i="31"/>
  <c r="D20" i="31"/>
  <c r="C20" i="31"/>
  <c r="K19" i="31"/>
  <c r="J19" i="31"/>
  <c r="H19" i="31"/>
  <c r="G19" i="31"/>
  <c r="F19" i="31"/>
  <c r="E19" i="31"/>
  <c r="D19" i="31"/>
  <c r="C19" i="31"/>
  <c r="D8" i="18"/>
  <c r="N83" i="18"/>
  <c r="Q83" i="18"/>
  <c r="P83" i="18"/>
  <c r="O83" i="18"/>
  <c r="M83" i="18"/>
  <c r="L83" i="18"/>
  <c r="N77" i="18"/>
  <c r="Q77" i="18"/>
  <c r="P77" i="18"/>
  <c r="O77" i="18"/>
  <c r="M77" i="18"/>
  <c r="L77" i="18"/>
  <c r="Q82" i="18"/>
  <c r="P82" i="18"/>
  <c r="O82" i="18"/>
  <c r="N82" i="18"/>
  <c r="M82" i="18"/>
  <c r="L82" i="18"/>
  <c r="Q76" i="18"/>
  <c r="P76" i="18"/>
  <c r="O76" i="18"/>
  <c r="N76" i="18"/>
  <c r="M76" i="18"/>
  <c r="L76" i="18"/>
  <c r="H77" i="18"/>
  <c r="G77" i="18"/>
  <c r="F77" i="18"/>
  <c r="E77" i="18"/>
  <c r="D77" i="18"/>
  <c r="C77" i="18"/>
  <c r="H83" i="18"/>
  <c r="G83" i="18"/>
  <c r="F83" i="18"/>
  <c r="E83" i="18"/>
  <c r="D83" i="18"/>
  <c r="C83" i="18"/>
  <c r="H82" i="18"/>
  <c r="G82" i="18"/>
  <c r="F82" i="18"/>
  <c r="E82" i="18"/>
  <c r="D82" i="18"/>
  <c r="C82" i="18"/>
  <c r="H76" i="18"/>
  <c r="G76" i="18"/>
  <c r="F76" i="18"/>
  <c r="E76" i="18"/>
  <c r="D76" i="18"/>
  <c r="C76" i="18"/>
  <c r="H66" i="18"/>
  <c r="G66" i="18"/>
  <c r="F66" i="18"/>
  <c r="E66" i="18"/>
  <c r="D66" i="18"/>
  <c r="C66" i="18"/>
  <c r="H60" i="18"/>
  <c r="G60" i="18"/>
  <c r="F60" i="18"/>
  <c r="E60" i="18"/>
  <c r="D60" i="18"/>
  <c r="C60" i="18"/>
  <c r="H65" i="18"/>
  <c r="G65" i="18"/>
  <c r="F65" i="18"/>
  <c r="E65" i="18"/>
  <c r="D65" i="18"/>
  <c r="C65" i="18"/>
  <c r="H59" i="18"/>
  <c r="G59" i="18"/>
  <c r="F59" i="18"/>
  <c r="E59" i="18"/>
  <c r="D59" i="18"/>
  <c r="C59" i="18"/>
  <c r="H49" i="18"/>
  <c r="G49" i="18"/>
  <c r="F49" i="18"/>
  <c r="E49" i="18"/>
  <c r="D49" i="18"/>
  <c r="C49" i="18"/>
  <c r="H43" i="18"/>
  <c r="G43" i="18"/>
  <c r="F43" i="18"/>
  <c r="E43" i="18"/>
  <c r="D43" i="18"/>
  <c r="C43" i="18"/>
  <c r="H48" i="18"/>
  <c r="G48" i="18"/>
  <c r="F48" i="18"/>
  <c r="E48" i="18"/>
  <c r="D48" i="18"/>
  <c r="C48" i="18"/>
  <c r="H42" i="18"/>
  <c r="G42" i="18"/>
  <c r="F42" i="18"/>
  <c r="E42" i="18"/>
  <c r="D42" i="18"/>
  <c r="C42" i="18"/>
  <c r="Q32" i="18"/>
  <c r="P32" i="18"/>
  <c r="O32" i="18"/>
  <c r="N32" i="18"/>
  <c r="M32" i="18"/>
  <c r="L32" i="18"/>
  <c r="Q26" i="18"/>
  <c r="P26" i="18"/>
  <c r="O26" i="18"/>
  <c r="N26" i="18"/>
  <c r="M26" i="18"/>
  <c r="L26" i="18"/>
  <c r="Q31" i="18"/>
  <c r="P31" i="18"/>
  <c r="O31" i="18"/>
  <c r="N31" i="18"/>
  <c r="M31" i="18"/>
  <c r="L31" i="18"/>
  <c r="Q25" i="18"/>
  <c r="P25" i="18"/>
  <c r="O25" i="18"/>
  <c r="N25" i="18"/>
  <c r="M25" i="18"/>
  <c r="L25" i="18"/>
  <c r="F32" i="18"/>
  <c r="H32" i="18"/>
  <c r="G32" i="18"/>
  <c r="E32" i="18"/>
  <c r="D32" i="18"/>
  <c r="C32" i="18"/>
  <c r="H31" i="18"/>
  <c r="G31" i="18"/>
  <c r="F31" i="18"/>
  <c r="E31" i="18"/>
  <c r="D31" i="18"/>
  <c r="C31" i="18"/>
  <c r="H26" i="18"/>
  <c r="G26" i="18"/>
  <c r="F26" i="18"/>
  <c r="E26" i="18"/>
  <c r="D26" i="18"/>
  <c r="C26" i="18"/>
  <c r="H25" i="18"/>
  <c r="G25" i="18"/>
  <c r="F25" i="18"/>
  <c r="E25" i="18"/>
  <c r="D25" i="18"/>
  <c r="C25" i="18"/>
  <c r="H15" i="18"/>
  <c r="G15" i="18"/>
  <c r="F15" i="18"/>
  <c r="E15" i="18"/>
  <c r="D15" i="18"/>
  <c r="H14" i="18"/>
  <c r="G14" i="18"/>
  <c r="F14" i="18"/>
  <c r="E14" i="18"/>
  <c r="D14" i="18"/>
  <c r="C15" i="18"/>
  <c r="C14" i="18"/>
  <c r="H9" i="18"/>
  <c r="H8" i="18"/>
  <c r="G9" i="18"/>
  <c r="G8" i="18"/>
  <c r="F9" i="18"/>
  <c r="F8" i="18"/>
  <c r="E9" i="18"/>
  <c r="E8" i="18"/>
  <c r="D9" i="18"/>
  <c r="C9" i="18"/>
  <c r="C8" i="18"/>
  <c r="T37" i="17"/>
  <c r="Q37" i="17"/>
  <c r="M37" i="17"/>
  <c r="J37" i="17"/>
  <c r="F37" i="17"/>
  <c r="C37" i="17"/>
  <c r="T36" i="17"/>
  <c r="Q36" i="17"/>
  <c r="T35" i="17"/>
  <c r="Q35" i="17"/>
  <c r="M36" i="17"/>
  <c r="J36" i="17"/>
  <c r="M35" i="17"/>
  <c r="J35" i="17"/>
  <c r="F36" i="17"/>
  <c r="F35" i="17"/>
  <c r="C36" i="17"/>
  <c r="C35" i="17"/>
  <c r="H89" i="16"/>
  <c r="G89" i="16"/>
  <c r="H88" i="16"/>
  <c r="G88" i="16"/>
  <c r="D88" i="16"/>
  <c r="C88" i="16"/>
  <c r="D87" i="16"/>
  <c r="C87" i="16"/>
  <c r="H73" i="16"/>
  <c r="G73" i="16"/>
  <c r="D73" i="16"/>
  <c r="C73" i="16"/>
  <c r="H72" i="16"/>
  <c r="G72" i="16"/>
  <c r="D72" i="16"/>
  <c r="C72" i="16"/>
  <c r="H56" i="16"/>
  <c r="G56" i="16"/>
  <c r="H55" i="16"/>
  <c r="G55" i="16"/>
  <c r="D55" i="16"/>
  <c r="C55" i="16"/>
  <c r="D54" i="16"/>
  <c r="C54" i="16"/>
  <c r="H41" i="16"/>
  <c r="G41" i="16"/>
  <c r="H40" i="16"/>
  <c r="G40" i="16"/>
  <c r="D37" i="16"/>
  <c r="C37" i="16"/>
  <c r="D36" i="16"/>
  <c r="C36" i="16"/>
  <c r="D18" i="16"/>
  <c r="C18" i="16"/>
  <c r="D17" i="16"/>
  <c r="C17" i="16"/>
  <c r="H18" i="16"/>
  <c r="G18" i="16"/>
  <c r="H17" i="16"/>
  <c r="G17" i="16"/>
  <c r="J14" i="13"/>
  <c r="I14" i="13"/>
  <c r="J13" i="13"/>
  <c r="I13" i="13"/>
  <c r="E13" i="13"/>
  <c r="D13" i="13"/>
  <c r="E12" i="13"/>
  <c r="D12" i="13"/>
  <c r="I14" i="9"/>
  <c r="H14" i="9"/>
  <c r="I13" i="9"/>
  <c r="H13" i="9"/>
  <c r="D14" i="9"/>
  <c r="C14" i="9"/>
  <c r="D13" i="9"/>
  <c r="C13" i="9"/>
  <c r="P12" i="6"/>
  <c r="O12" i="6"/>
  <c r="P11" i="6"/>
  <c r="O11" i="6"/>
  <c r="L11" i="6"/>
  <c r="K11" i="6"/>
  <c r="L10" i="6"/>
  <c r="K10" i="6"/>
  <c r="S21" i="4"/>
  <c r="R21" i="4"/>
  <c r="S20" i="4"/>
  <c r="R20" i="4"/>
  <c r="N17" i="4"/>
  <c r="M17" i="4"/>
  <c r="N16" i="4"/>
  <c r="M16" i="4"/>
  <c r="N16" i="3"/>
  <c r="M16" i="3"/>
  <c r="N15" i="3"/>
  <c r="M15" i="3"/>
  <c r="J18" i="3"/>
  <c r="I18" i="3"/>
  <c r="J17" i="3"/>
  <c r="I17" i="3"/>
</calcChain>
</file>

<file path=xl/sharedStrings.xml><?xml version="1.0" encoding="utf-8"?>
<sst xmlns="http://schemas.openxmlformats.org/spreadsheetml/2006/main" count="1072" uniqueCount="207">
  <si>
    <t>length (cm)</t>
  </si>
  <si>
    <t>weight(g)</t>
  </si>
  <si>
    <t>weight (g)</t>
  </si>
  <si>
    <t>date ; 06:01:2026</t>
  </si>
  <si>
    <t xml:space="preserve">Rope 1 </t>
  </si>
  <si>
    <t>Rope 2</t>
  </si>
  <si>
    <t xml:space="preserve">Rope 3 </t>
  </si>
  <si>
    <t>Replicate 1</t>
  </si>
  <si>
    <t>R2 S1</t>
  </si>
  <si>
    <t>R2 S2</t>
  </si>
  <si>
    <t>R2 S3</t>
  </si>
  <si>
    <t>R2 S4</t>
  </si>
  <si>
    <t>R2 S5</t>
  </si>
  <si>
    <t>R2 S6</t>
  </si>
  <si>
    <t>R2 S7</t>
  </si>
  <si>
    <t>R2 S8</t>
  </si>
  <si>
    <t>R2 S9</t>
  </si>
  <si>
    <t>R2 S10</t>
  </si>
  <si>
    <t>R3 S1</t>
  </si>
  <si>
    <t>R3 S2</t>
  </si>
  <si>
    <t>R3 S3</t>
  </si>
  <si>
    <t>R3 S4</t>
  </si>
  <si>
    <t>R3 S5</t>
  </si>
  <si>
    <t>R3 S6</t>
  </si>
  <si>
    <t>R3 S7</t>
  </si>
  <si>
    <t>R3 S8</t>
  </si>
  <si>
    <t>R3 S9</t>
  </si>
  <si>
    <t>R3 S10</t>
  </si>
  <si>
    <t xml:space="preserve">Replicate 2 </t>
  </si>
  <si>
    <t xml:space="preserve">Replicate 3 </t>
  </si>
  <si>
    <t>R1 S1</t>
  </si>
  <si>
    <t>R1 S2</t>
  </si>
  <si>
    <t>R1 S3</t>
  </si>
  <si>
    <t>R1 S4</t>
  </si>
  <si>
    <t>R1 S5</t>
  </si>
  <si>
    <t>R1 S6</t>
  </si>
  <si>
    <t>R1 S7</t>
  </si>
  <si>
    <t>R1 S8</t>
  </si>
  <si>
    <t>R1 S9</t>
  </si>
  <si>
    <t>R1 S10</t>
  </si>
  <si>
    <t>date; 14:01:2026</t>
  </si>
  <si>
    <t>Weight(g)</t>
  </si>
  <si>
    <t xml:space="preserve">R1 S1 </t>
  </si>
  <si>
    <t>Rope</t>
  </si>
  <si>
    <t xml:space="preserve">Rope </t>
  </si>
  <si>
    <t>Weight (g)</t>
  </si>
  <si>
    <t>IMTA</t>
  </si>
  <si>
    <t xml:space="preserve">sea cucumber </t>
  </si>
  <si>
    <t>under IMTA</t>
  </si>
  <si>
    <t>under monoculture</t>
  </si>
  <si>
    <t xml:space="preserve">Water quality </t>
  </si>
  <si>
    <t xml:space="preserve">Sample </t>
  </si>
  <si>
    <t>PH</t>
  </si>
  <si>
    <t>TDS (ppt)</t>
  </si>
  <si>
    <t>Salinity (ppt)</t>
  </si>
  <si>
    <t>Temperature</t>
  </si>
  <si>
    <t>Conductivity (mS)</t>
  </si>
  <si>
    <t xml:space="preserve"> </t>
  </si>
  <si>
    <t>Site 2  R 1</t>
  </si>
  <si>
    <t>Site 1  R 1</t>
  </si>
  <si>
    <t xml:space="preserve">               R2</t>
  </si>
  <si>
    <t xml:space="preserve">               R3</t>
  </si>
  <si>
    <t xml:space="preserve">               R2 </t>
  </si>
  <si>
    <t>date: 21;01;2026</t>
  </si>
  <si>
    <t xml:space="preserve">sample </t>
  </si>
  <si>
    <t xml:space="preserve">                 R3</t>
  </si>
  <si>
    <t xml:space="preserve">                 R2</t>
  </si>
  <si>
    <t>Site 1    R1</t>
  </si>
  <si>
    <t xml:space="preserve">water quality </t>
  </si>
  <si>
    <t xml:space="preserve">nutrition </t>
  </si>
  <si>
    <t>Site 1      R1</t>
  </si>
  <si>
    <t xml:space="preserve">                   R2     </t>
  </si>
  <si>
    <t xml:space="preserve">                   R3</t>
  </si>
  <si>
    <t>Site 2      R1</t>
  </si>
  <si>
    <t>Site 2    R1</t>
  </si>
  <si>
    <t>under  monoculture</t>
  </si>
  <si>
    <t>Length(cm)</t>
  </si>
  <si>
    <t xml:space="preserve">DO(mg/l) probe </t>
  </si>
  <si>
    <t>-</t>
  </si>
  <si>
    <t>DO(mg/l) winkler</t>
  </si>
  <si>
    <r>
      <t>NO2-(</t>
    </r>
    <r>
      <rPr>
        <sz val="11"/>
        <color theme="1"/>
        <rFont val="Aptos Narrow"/>
        <family val="2"/>
      </rPr>
      <t>µg/L)</t>
    </r>
  </si>
  <si>
    <t>NANO2(µg/L)</t>
  </si>
  <si>
    <t>NO2--N(µg/L)</t>
  </si>
  <si>
    <t>P2O5(µg/L)</t>
  </si>
  <si>
    <t>P(µg/L)</t>
  </si>
  <si>
    <t>PO43-(µg/L)</t>
  </si>
  <si>
    <t xml:space="preserve">PH </t>
  </si>
  <si>
    <t>Salinity(ppt)</t>
  </si>
  <si>
    <t>DO (mg/L)</t>
  </si>
  <si>
    <t>Monoculture</t>
  </si>
  <si>
    <t>date;24;01;2026</t>
  </si>
  <si>
    <t>date;28;01;2026</t>
  </si>
  <si>
    <t>date;01;02;2026</t>
  </si>
  <si>
    <t>date;06;02;2026</t>
  </si>
  <si>
    <t>date;15;02;2026</t>
  </si>
  <si>
    <t>date;18;02;2026</t>
  </si>
  <si>
    <t>date;25;02;2026</t>
  </si>
  <si>
    <t>date;19;02;2026</t>
  </si>
  <si>
    <t>sample</t>
  </si>
  <si>
    <t>crusible weight (g)</t>
  </si>
  <si>
    <t xml:space="preserve">site 1 R1 </t>
  </si>
  <si>
    <t>site 2  R1</t>
  </si>
  <si>
    <t xml:space="preserve">                R2</t>
  </si>
  <si>
    <t>soil weight (5g)</t>
  </si>
  <si>
    <t>crusible + soil weight (before )</t>
  </si>
  <si>
    <t>crusible + soil weight ( after )</t>
  </si>
  <si>
    <t>LOSS</t>
  </si>
  <si>
    <t>s</t>
  </si>
  <si>
    <t>initial weight =1563</t>
  </si>
  <si>
    <t>final weight = 1999</t>
  </si>
  <si>
    <t>culture peroid =51 days</t>
  </si>
  <si>
    <t>total weight gain = 436g</t>
  </si>
  <si>
    <t xml:space="preserve">AGR=Wf-Wi/t  = 8.55g/day </t>
  </si>
  <si>
    <t xml:space="preserve">SGR= (lnWf-lnWi/t)100  =0.48%/day </t>
  </si>
  <si>
    <t xml:space="preserve">seedlings </t>
  </si>
  <si>
    <t>W (initial)</t>
  </si>
  <si>
    <t>W (final )</t>
  </si>
  <si>
    <t>REPLICATE 1</t>
  </si>
  <si>
    <t>REPLICATE 2</t>
  </si>
  <si>
    <t>REPLICATE 3</t>
  </si>
  <si>
    <t>DGR=( Wf-Wi/Wi*t)100  =0.55%/ day</t>
  </si>
  <si>
    <t>crusible weight</t>
  </si>
  <si>
    <t>sample weight</t>
  </si>
  <si>
    <t>loss</t>
  </si>
  <si>
    <t>initial weight (before) muffle furnace</t>
  </si>
  <si>
    <t xml:space="preserve">final weight (after ) muffle furnace </t>
  </si>
  <si>
    <t>site 1  R1</t>
  </si>
  <si>
    <t xml:space="preserve">              R2</t>
  </si>
  <si>
    <t>site 2   R1</t>
  </si>
  <si>
    <t>date; 12;03;2026</t>
  </si>
  <si>
    <t xml:space="preserve">crusible weight </t>
  </si>
  <si>
    <t>soil weight</t>
  </si>
  <si>
    <t>crusible + soil weigh (t after)</t>
  </si>
  <si>
    <t>crusible + soil weight ( before)</t>
  </si>
  <si>
    <t>site 1</t>
  </si>
  <si>
    <t>site 2</t>
  </si>
  <si>
    <t xml:space="preserve">crusible + sample weight(before) own </t>
  </si>
  <si>
    <t>crusible + sample weight (after) own</t>
  </si>
  <si>
    <t xml:space="preserve">loss moisute </t>
  </si>
  <si>
    <t xml:space="preserve">loss ash </t>
  </si>
  <si>
    <t xml:space="preserve">crusible + soilbefore </t>
  </si>
  <si>
    <t>crusible + soil after</t>
  </si>
  <si>
    <t xml:space="preserve">Mean </t>
  </si>
  <si>
    <t>SD</t>
  </si>
  <si>
    <t xml:space="preserve">SD </t>
  </si>
  <si>
    <t>week 2</t>
  </si>
  <si>
    <t>week 3</t>
  </si>
  <si>
    <t>week 4</t>
  </si>
  <si>
    <t>week 5</t>
  </si>
  <si>
    <t>week 6</t>
  </si>
  <si>
    <t>14.01.2026</t>
  </si>
  <si>
    <t>24.01.2026</t>
  </si>
  <si>
    <t>01.02.2026</t>
  </si>
  <si>
    <t>06.02.2026</t>
  </si>
  <si>
    <t>15.02.2026</t>
  </si>
  <si>
    <t>initial weight (g)</t>
  </si>
  <si>
    <t>final weight (g)</t>
  </si>
  <si>
    <t>seedlings</t>
  </si>
  <si>
    <t>Replicate 2</t>
  </si>
  <si>
    <t>Replicate 3</t>
  </si>
  <si>
    <t xml:space="preserve">R2 S1 </t>
  </si>
  <si>
    <t>Mean</t>
  </si>
  <si>
    <t xml:space="preserve">week 2 </t>
  </si>
  <si>
    <t xml:space="preserve">week 3 </t>
  </si>
  <si>
    <t>week 7</t>
  </si>
  <si>
    <t>N/P</t>
  </si>
  <si>
    <t xml:space="preserve">sum </t>
  </si>
  <si>
    <t>sum</t>
  </si>
  <si>
    <t xml:space="preserve">initial weight </t>
  </si>
  <si>
    <t xml:space="preserve">final weight </t>
  </si>
  <si>
    <t xml:space="preserve">culture period </t>
  </si>
  <si>
    <t>51 days</t>
  </si>
  <si>
    <t xml:space="preserve">total weight gain </t>
  </si>
  <si>
    <t>AGR =</t>
  </si>
  <si>
    <t>SGR</t>
  </si>
  <si>
    <t>wf-wi/t</t>
  </si>
  <si>
    <t>(lnwf-lnwi/t)100</t>
  </si>
  <si>
    <t>8.49g/day</t>
  </si>
  <si>
    <t xml:space="preserve">0.49%/day </t>
  </si>
  <si>
    <t xml:space="preserve">Treatment </t>
  </si>
  <si>
    <t xml:space="preserve">IMTA </t>
  </si>
  <si>
    <t xml:space="preserve">Monoculture </t>
  </si>
  <si>
    <t>Initial mean weight (g)</t>
  </si>
  <si>
    <t>final mean weight (g)</t>
  </si>
  <si>
    <t>weight change (g)</t>
  </si>
  <si>
    <t xml:space="preserve">% change </t>
  </si>
  <si>
    <t>AGR (g/day)</t>
  </si>
  <si>
    <t>SGR (%/day )</t>
  </si>
  <si>
    <t>z</t>
  </si>
  <si>
    <t>MOISTURE %</t>
  </si>
  <si>
    <t>OM%</t>
  </si>
  <si>
    <t>site 1 R2</t>
  </si>
  <si>
    <t xml:space="preserve">mean </t>
  </si>
  <si>
    <t xml:space="preserve">site 2 R1 </t>
  </si>
  <si>
    <t xml:space="preserve">site 2 R2 </t>
  </si>
  <si>
    <t xml:space="preserve">soil </t>
  </si>
  <si>
    <t xml:space="preserve">crusible + soil before </t>
  </si>
  <si>
    <t xml:space="preserve">crusible + soil after </t>
  </si>
  <si>
    <t xml:space="preserve">crusible + sample before furnace </t>
  </si>
  <si>
    <t xml:space="preserve">dry sample </t>
  </si>
  <si>
    <t>crusible + sample after furnace</t>
  </si>
  <si>
    <t>R 1</t>
  </si>
  <si>
    <t>R 2</t>
  </si>
  <si>
    <t>R 3</t>
  </si>
  <si>
    <t xml:space="preserve">R 1 </t>
  </si>
  <si>
    <t xml:space="preserve">R 3 </t>
  </si>
  <si>
    <t>dry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</si>
</sst>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26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5" fillId="0" borderId="0" xfId="0" applyFont="1"/>
    <xf numFmtId="0" fontId="0" fillId="8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9" borderId="1" xfId="0" applyFill="1" applyBorder="1"/>
    <xf numFmtId="2" fontId="0" fillId="9" borderId="1" xfId="0" applyNumberFormat="1" applyFill="1" applyBorder="1"/>
    <xf numFmtId="0" fontId="0" fillId="14" borderId="1" xfId="0" applyFill="1" applyBorder="1"/>
    <xf numFmtId="0" fontId="0" fillId="14" borderId="0" xfId="0" applyFill="1"/>
    <xf numFmtId="0" fontId="0" fillId="15" borderId="0" xfId="0" applyFill="1"/>
    <xf numFmtId="0" fontId="0" fillId="12" borderId="0" xfId="0" applyFill="1"/>
    <xf numFmtId="0" fontId="0" fillId="13" borderId="0" xfId="0" applyFill="1"/>
    <xf numFmtId="0" fontId="0" fillId="16" borderId="1" xfId="0" applyFill="1" applyBorder="1"/>
    <xf numFmtId="0" fontId="0" fillId="17" borderId="0" xfId="0" applyFill="1"/>
    <xf numFmtId="0" fontId="0" fillId="18" borderId="1" xfId="0" applyFill="1" applyBorder="1"/>
    <xf numFmtId="0" fontId="0" fillId="18" borderId="3" xfId="0" applyFill="1" applyBorder="1"/>
    <xf numFmtId="0" fontId="0" fillId="19" borderId="1" xfId="0" applyFill="1" applyBorder="1"/>
    <xf numFmtId="0" fontId="6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11" fillId="0" borderId="0" xfId="0" applyFont="1"/>
    <xf numFmtId="0" fontId="10" fillId="0" borderId="0" xfId="0" applyFont="1"/>
    <xf numFmtId="0" fontId="0" fillId="16" borderId="0" xfId="0" applyFill="1"/>
    <xf numFmtId="2" fontId="0" fillId="16" borderId="1" xfId="0" applyNumberFormat="1" applyFill="1" applyBorder="1"/>
    <xf numFmtId="2" fontId="0" fillId="11" borderId="1" xfId="0" applyNumberFormat="1" applyFill="1" applyBorder="1"/>
    <xf numFmtId="164" fontId="0" fillId="11" borderId="1" xfId="0" applyNumberFormat="1" applyFill="1" applyBorder="1"/>
    <xf numFmtId="2" fontId="0" fillId="16" borderId="0" xfId="0" applyNumberFormat="1" applyFill="1"/>
    <xf numFmtId="2" fontId="0" fillId="18" borderId="1" xfId="0" applyNumberFormat="1" applyFill="1" applyBorder="1"/>
    <xf numFmtId="165" fontId="0" fillId="20" borderId="1" xfId="0" applyNumberFormat="1" applyFill="1" applyBorder="1"/>
    <xf numFmtId="2" fontId="0" fillId="14" borderId="1" xfId="0" applyNumberFormat="1" applyFill="1" applyBorder="1"/>
    <xf numFmtId="0" fontId="0" fillId="20" borderId="1" xfId="0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0" borderId="1" xfId="0" applyFont="1" applyBorder="1"/>
    <xf numFmtId="0" fontId="12" fillId="0" borderId="0" xfId="0" applyFont="1"/>
    <xf numFmtId="0" fontId="0" fillId="0" borderId="2" xfId="0" applyBorder="1" applyAlignment="1">
      <alignment horizontal="center"/>
    </xf>
    <xf numFmtId="0" fontId="9" fillId="0" borderId="1" xfId="0" applyFont="1" applyBorder="1"/>
    <xf numFmtId="10" fontId="9" fillId="0" borderId="1" xfId="0" applyNumberFormat="1" applyFont="1" applyBorder="1"/>
    <xf numFmtId="0" fontId="9" fillId="5" borderId="1" xfId="0" applyFont="1" applyFill="1" applyBorder="1"/>
    <xf numFmtId="0" fontId="9" fillId="4" borderId="1" xfId="0" applyFont="1" applyFill="1" applyBorder="1"/>
    <xf numFmtId="0" fontId="9" fillId="16" borderId="1" xfId="0" applyFont="1" applyFill="1" applyBorder="1"/>
    <xf numFmtId="0" fontId="9" fillId="9" borderId="1" xfId="0" applyFont="1" applyFill="1" applyBorder="1"/>
    <xf numFmtId="2" fontId="9" fillId="9" borderId="1" xfId="0" applyNumberFormat="1" applyFont="1" applyFill="1" applyBorder="1"/>
    <xf numFmtId="164" fontId="9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C6BC-E6AC-453E-B0F3-8EBE9FA49563}">
  <dimension ref="A1:F43"/>
  <sheetViews>
    <sheetView topLeftCell="A29" zoomScale="98" workbookViewId="0">
      <selection activeCell="I12" sqref="I12"/>
    </sheetView>
  </sheetViews>
  <sheetFormatPr defaultRowHeight="14.4" x14ac:dyDescent="0.3"/>
  <cols>
    <col min="1" max="1" width="15.44140625" customWidth="1"/>
    <col min="2" max="2" width="15.5546875" customWidth="1"/>
    <col min="3" max="3" width="17" customWidth="1"/>
    <col min="4" max="4" width="16.109375" customWidth="1"/>
    <col min="5" max="5" width="16.77734375" customWidth="1"/>
    <col min="6" max="6" width="14.88671875" customWidth="1"/>
  </cols>
  <sheetData>
    <row r="1" spans="1:6" x14ac:dyDescent="0.3">
      <c r="A1" t="s">
        <v>3</v>
      </c>
    </row>
    <row r="3" spans="1:6" x14ac:dyDescent="0.3">
      <c r="A3" t="s">
        <v>7</v>
      </c>
    </row>
    <row r="4" spans="1:6" x14ac:dyDescent="0.3">
      <c r="A4" s="2" t="s">
        <v>4</v>
      </c>
      <c r="B4" s="1" t="s">
        <v>2</v>
      </c>
      <c r="C4" s="2" t="s">
        <v>5</v>
      </c>
      <c r="D4" s="1" t="s">
        <v>2</v>
      </c>
      <c r="E4" s="2" t="s">
        <v>6</v>
      </c>
      <c r="F4" s="1" t="s">
        <v>1</v>
      </c>
    </row>
    <row r="5" spans="1:6" x14ac:dyDescent="0.3">
      <c r="A5" s="16" t="s">
        <v>30</v>
      </c>
      <c r="B5" s="16">
        <v>20</v>
      </c>
      <c r="C5" s="12" t="s">
        <v>8</v>
      </c>
      <c r="D5" s="12">
        <v>14</v>
      </c>
      <c r="E5" s="13" t="s">
        <v>18</v>
      </c>
      <c r="F5" s="13">
        <v>24</v>
      </c>
    </row>
    <row r="6" spans="1:6" x14ac:dyDescent="0.3">
      <c r="A6" s="16" t="s">
        <v>31</v>
      </c>
      <c r="B6" s="16">
        <v>12</v>
      </c>
      <c r="C6" s="12" t="s">
        <v>9</v>
      </c>
      <c r="D6" s="12">
        <v>9</v>
      </c>
      <c r="E6" s="13" t="s">
        <v>19</v>
      </c>
      <c r="F6" s="13">
        <v>16</v>
      </c>
    </row>
    <row r="7" spans="1:6" x14ac:dyDescent="0.3">
      <c r="A7" s="16" t="s">
        <v>32</v>
      </c>
      <c r="B7" s="16">
        <v>16</v>
      </c>
      <c r="C7" s="12" t="s">
        <v>10</v>
      </c>
      <c r="D7" s="12">
        <v>24</v>
      </c>
      <c r="E7" s="13" t="s">
        <v>20</v>
      </c>
      <c r="F7" s="13">
        <v>24</v>
      </c>
    </row>
    <row r="8" spans="1:6" x14ac:dyDescent="0.3">
      <c r="A8" s="16" t="s">
        <v>33</v>
      </c>
      <c r="B8" s="16">
        <v>36</v>
      </c>
      <c r="C8" s="12" t="s">
        <v>11</v>
      </c>
      <c r="D8" s="12">
        <v>29</v>
      </c>
      <c r="E8" s="13" t="s">
        <v>21</v>
      </c>
      <c r="F8" s="13">
        <v>23</v>
      </c>
    </row>
    <row r="9" spans="1:6" x14ac:dyDescent="0.3">
      <c r="A9" s="16" t="s">
        <v>34</v>
      </c>
      <c r="B9" s="16">
        <v>11</v>
      </c>
      <c r="C9" s="12" t="s">
        <v>12</v>
      </c>
      <c r="D9" s="12">
        <v>13</v>
      </c>
      <c r="E9" s="13" t="s">
        <v>22</v>
      </c>
      <c r="F9" s="13">
        <v>8</v>
      </c>
    </row>
    <row r="10" spans="1:6" x14ac:dyDescent="0.3">
      <c r="A10" s="16" t="s">
        <v>35</v>
      </c>
      <c r="B10" s="16">
        <v>20</v>
      </c>
      <c r="C10" s="12" t="s">
        <v>13</v>
      </c>
      <c r="D10" s="12">
        <v>22</v>
      </c>
      <c r="E10" s="13" t="s">
        <v>23</v>
      </c>
      <c r="F10" s="13">
        <v>12</v>
      </c>
    </row>
    <row r="11" spans="1:6" x14ac:dyDescent="0.3">
      <c r="A11" s="16" t="s">
        <v>36</v>
      </c>
      <c r="B11" s="16">
        <v>17</v>
      </c>
      <c r="C11" s="12" t="s">
        <v>14</v>
      </c>
      <c r="D11" s="12">
        <v>21</v>
      </c>
      <c r="E11" s="13" t="s">
        <v>24</v>
      </c>
      <c r="F11" s="13">
        <v>18</v>
      </c>
    </row>
    <row r="12" spans="1:6" x14ac:dyDescent="0.3">
      <c r="A12" s="16" t="s">
        <v>37</v>
      </c>
      <c r="B12" s="16">
        <v>14</v>
      </c>
      <c r="C12" s="12" t="s">
        <v>15</v>
      </c>
      <c r="D12" s="12">
        <v>13</v>
      </c>
      <c r="E12" s="13" t="s">
        <v>25</v>
      </c>
      <c r="F12" s="13">
        <v>10</v>
      </c>
    </row>
    <row r="13" spans="1:6" x14ac:dyDescent="0.3">
      <c r="A13" s="16" t="s">
        <v>38</v>
      </c>
      <c r="B13" s="16">
        <v>26</v>
      </c>
      <c r="C13" s="12" t="s">
        <v>16</v>
      </c>
      <c r="D13" s="12">
        <v>15</v>
      </c>
      <c r="E13" s="13" t="s">
        <v>26</v>
      </c>
      <c r="F13" s="13">
        <v>7</v>
      </c>
    </row>
    <row r="14" spans="1:6" x14ac:dyDescent="0.3">
      <c r="A14" s="16" t="s">
        <v>39</v>
      </c>
      <c r="B14" s="16">
        <v>18</v>
      </c>
      <c r="C14" s="12" t="s">
        <v>17</v>
      </c>
      <c r="D14" s="12">
        <v>9</v>
      </c>
      <c r="E14" s="13" t="s">
        <v>27</v>
      </c>
      <c r="F14" s="13">
        <v>8</v>
      </c>
    </row>
    <row r="15" spans="1:6" x14ac:dyDescent="0.3">
      <c r="A15" s="16"/>
      <c r="B15" s="16"/>
      <c r="C15" s="12"/>
      <c r="D15" s="12"/>
      <c r="E15" s="13"/>
      <c r="F15" s="13"/>
    </row>
    <row r="16" spans="1:6" x14ac:dyDescent="0.3">
      <c r="A16" s="18"/>
      <c r="B16" s="18"/>
    </row>
    <row r="17" spans="1:6" x14ac:dyDescent="0.3">
      <c r="A17" s="18" t="s">
        <v>28</v>
      </c>
      <c r="B17" s="18"/>
    </row>
    <row r="18" spans="1:6" x14ac:dyDescent="0.3">
      <c r="A18" s="16" t="s">
        <v>4</v>
      </c>
      <c r="B18" s="16" t="s">
        <v>2</v>
      </c>
      <c r="C18" s="2" t="s">
        <v>5</v>
      </c>
      <c r="D18" s="1" t="s">
        <v>2</v>
      </c>
      <c r="E18" s="2" t="s">
        <v>6</v>
      </c>
      <c r="F18" s="1" t="s">
        <v>1</v>
      </c>
    </row>
    <row r="19" spans="1:6" x14ac:dyDescent="0.3">
      <c r="A19" s="16" t="s">
        <v>30</v>
      </c>
      <c r="B19" s="16">
        <v>6</v>
      </c>
      <c r="C19" s="12" t="s">
        <v>8</v>
      </c>
      <c r="D19" s="12">
        <v>22</v>
      </c>
      <c r="E19" s="13" t="s">
        <v>18</v>
      </c>
      <c r="F19" s="13">
        <v>23</v>
      </c>
    </row>
    <row r="20" spans="1:6" x14ac:dyDescent="0.3">
      <c r="A20" s="16" t="s">
        <v>31</v>
      </c>
      <c r="B20" s="16">
        <v>10</v>
      </c>
      <c r="C20" s="12" t="s">
        <v>9</v>
      </c>
      <c r="D20" s="12">
        <v>35</v>
      </c>
      <c r="E20" s="13" t="s">
        <v>19</v>
      </c>
      <c r="F20" s="13">
        <v>35</v>
      </c>
    </row>
    <row r="21" spans="1:6" x14ac:dyDescent="0.3">
      <c r="A21" s="16" t="s">
        <v>32</v>
      </c>
      <c r="B21" s="16">
        <v>9</v>
      </c>
      <c r="C21" s="12" t="s">
        <v>10</v>
      </c>
      <c r="D21" s="12">
        <v>38</v>
      </c>
      <c r="E21" s="13" t="s">
        <v>20</v>
      </c>
      <c r="F21" s="13">
        <v>14</v>
      </c>
    </row>
    <row r="22" spans="1:6" x14ac:dyDescent="0.3">
      <c r="A22" s="16" t="s">
        <v>33</v>
      </c>
      <c r="B22" s="16">
        <v>12</v>
      </c>
      <c r="C22" s="12" t="s">
        <v>11</v>
      </c>
      <c r="D22" s="12">
        <v>13</v>
      </c>
      <c r="E22" s="13" t="s">
        <v>21</v>
      </c>
      <c r="F22" s="13">
        <v>12</v>
      </c>
    </row>
    <row r="23" spans="1:6" x14ac:dyDescent="0.3">
      <c r="A23" s="16" t="s">
        <v>34</v>
      </c>
      <c r="B23" s="16">
        <v>11</v>
      </c>
      <c r="C23" s="12" t="s">
        <v>12</v>
      </c>
      <c r="D23" s="12">
        <v>15</v>
      </c>
      <c r="E23" s="13" t="s">
        <v>22</v>
      </c>
      <c r="F23" s="13">
        <v>31</v>
      </c>
    </row>
    <row r="24" spans="1:6" x14ac:dyDescent="0.3">
      <c r="A24" s="16" t="s">
        <v>35</v>
      </c>
      <c r="B24" s="16">
        <v>14</v>
      </c>
      <c r="C24" s="12" t="s">
        <v>13</v>
      </c>
      <c r="D24" s="12">
        <v>24</v>
      </c>
      <c r="E24" s="13" t="s">
        <v>23</v>
      </c>
      <c r="F24" s="13">
        <v>10</v>
      </c>
    </row>
    <row r="25" spans="1:6" x14ac:dyDescent="0.3">
      <c r="A25" s="16" t="s">
        <v>36</v>
      </c>
      <c r="B25" s="16">
        <v>10</v>
      </c>
      <c r="C25" s="12" t="s">
        <v>14</v>
      </c>
      <c r="D25" s="12">
        <v>22</v>
      </c>
      <c r="E25" s="13" t="s">
        <v>24</v>
      </c>
      <c r="F25" s="13">
        <v>17</v>
      </c>
    </row>
    <row r="26" spans="1:6" x14ac:dyDescent="0.3">
      <c r="A26" s="16" t="s">
        <v>37</v>
      </c>
      <c r="B26" s="16">
        <v>8</v>
      </c>
      <c r="C26" s="12" t="s">
        <v>15</v>
      </c>
      <c r="D26" s="12">
        <v>34</v>
      </c>
      <c r="E26" s="13" t="s">
        <v>25</v>
      </c>
      <c r="F26" s="13">
        <v>10</v>
      </c>
    </row>
    <row r="27" spans="1:6" x14ac:dyDescent="0.3">
      <c r="A27" s="16" t="s">
        <v>38</v>
      </c>
      <c r="B27" s="16">
        <v>12</v>
      </c>
      <c r="C27" s="12" t="s">
        <v>16</v>
      </c>
      <c r="D27" s="12">
        <v>14</v>
      </c>
      <c r="E27" s="13" t="s">
        <v>26</v>
      </c>
      <c r="F27" s="13">
        <v>28</v>
      </c>
    </row>
    <row r="28" spans="1:6" x14ac:dyDescent="0.3">
      <c r="A28" s="16" t="s">
        <v>39</v>
      </c>
      <c r="B28" s="16">
        <v>15</v>
      </c>
      <c r="C28" s="12" t="s">
        <v>17</v>
      </c>
      <c r="D28" s="12">
        <v>30</v>
      </c>
      <c r="E28" s="13" t="s">
        <v>27</v>
      </c>
      <c r="F28" s="13">
        <v>10</v>
      </c>
    </row>
    <row r="29" spans="1:6" x14ac:dyDescent="0.3">
      <c r="A29" s="16"/>
      <c r="B29" s="16"/>
      <c r="C29" s="12"/>
      <c r="D29" s="12"/>
      <c r="E29" s="13"/>
      <c r="F29" s="13"/>
    </row>
    <row r="30" spans="1:6" x14ac:dyDescent="0.3">
      <c r="A30" s="18"/>
      <c r="B30" s="18"/>
    </row>
    <row r="31" spans="1:6" x14ac:dyDescent="0.3">
      <c r="A31" s="18" t="s">
        <v>29</v>
      </c>
      <c r="B31" s="18"/>
    </row>
    <row r="32" spans="1:6" x14ac:dyDescent="0.3">
      <c r="A32" s="16" t="s">
        <v>4</v>
      </c>
      <c r="B32" s="16" t="s">
        <v>2</v>
      </c>
      <c r="C32" s="2" t="s">
        <v>5</v>
      </c>
      <c r="D32" s="1" t="s">
        <v>2</v>
      </c>
      <c r="E32" s="2" t="s">
        <v>6</v>
      </c>
      <c r="F32" s="1" t="s">
        <v>1</v>
      </c>
    </row>
    <row r="33" spans="1:6" x14ac:dyDescent="0.3">
      <c r="A33" s="16" t="s">
        <v>30</v>
      </c>
      <c r="B33" s="16">
        <v>25</v>
      </c>
      <c r="C33" s="12" t="s">
        <v>8</v>
      </c>
      <c r="D33" s="12">
        <v>5</v>
      </c>
      <c r="E33" s="13" t="s">
        <v>18</v>
      </c>
      <c r="F33" s="13">
        <v>25</v>
      </c>
    </row>
    <row r="34" spans="1:6" x14ac:dyDescent="0.3">
      <c r="A34" s="16" t="s">
        <v>31</v>
      </c>
      <c r="B34" s="16">
        <v>21</v>
      </c>
      <c r="C34" s="12" t="s">
        <v>9</v>
      </c>
      <c r="D34" s="12">
        <v>31</v>
      </c>
      <c r="E34" s="13" t="s">
        <v>19</v>
      </c>
      <c r="F34" s="13">
        <v>5</v>
      </c>
    </row>
    <row r="35" spans="1:6" x14ac:dyDescent="0.3">
      <c r="A35" s="16" t="s">
        <v>32</v>
      </c>
      <c r="B35" s="16">
        <v>13</v>
      </c>
      <c r="C35" s="12" t="s">
        <v>10</v>
      </c>
      <c r="D35" s="12">
        <v>13</v>
      </c>
      <c r="E35" s="13" t="s">
        <v>20</v>
      </c>
      <c r="F35" s="13">
        <v>16</v>
      </c>
    </row>
    <row r="36" spans="1:6" x14ac:dyDescent="0.3">
      <c r="A36" s="16" t="s">
        <v>33</v>
      </c>
      <c r="B36" s="16">
        <v>13</v>
      </c>
      <c r="C36" s="12" t="s">
        <v>11</v>
      </c>
      <c r="D36" s="12">
        <v>13</v>
      </c>
      <c r="E36" s="13" t="s">
        <v>21</v>
      </c>
      <c r="F36" s="13">
        <v>10</v>
      </c>
    </row>
    <row r="37" spans="1:6" x14ac:dyDescent="0.3">
      <c r="A37" s="16" t="s">
        <v>34</v>
      </c>
      <c r="B37" s="16">
        <v>19</v>
      </c>
      <c r="C37" s="12" t="s">
        <v>12</v>
      </c>
      <c r="D37" s="12">
        <v>33</v>
      </c>
      <c r="E37" s="13" t="s">
        <v>22</v>
      </c>
      <c r="F37" s="13">
        <v>24</v>
      </c>
    </row>
    <row r="38" spans="1:6" x14ac:dyDescent="0.3">
      <c r="A38" s="16" t="s">
        <v>35</v>
      </c>
      <c r="B38" s="16">
        <v>13</v>
      </c>
      <c r="C38" s="12" t="s">
        <v>13</v>
      </c>
      <c r="D38" s="12">
        <v>31</v>
      </c>
      <c r="E38" s="13" t="s">
        <v>23</v>
      </c>
      <c r="F38" s="13">
        <v>9</v>
      </c>
    </row>
    <row r="39" spans="1:6" x14ac:dyDescent="0.3">
      <c r="A39" s="16" t="s">
        <v>36</v>
      </c>
      <c r="B39" s="16">
        <v>16</v>
      </c>
      <c r="C39" s="12" t="s">
        <v>14</v>
      </c>
      <c r="D39" s="12">
        <v>34</v>
      </c>
      <c r="E39" s="13" t="s">
        <v>24</v>
      </c>
      <c r="F39" s="13">
        <v>15</v>
      </c>
    </row>
    <row r="40" spans="1:6" x14ac:dyDescent="0.3">
      <c r="A40" s="16" t="s">
        <v>37</v>
      </c>
      <c r="B40" s="16">
        <v>16</v>
      </c>
      <c r="C40" s="12" t="s">
        <v>15</v>
      </c>
      <c r="D40" s="12">
        <v>21</v>
      </c>
      <c r="E40" s="13" t="s">
        <v>25</v>
      </c>
      <c r="F40" s="13">
        <v>16</v>
      </c>
    </row>
    <row r="41" spans="1:6" x14ac:dyDescent="0.3">
      <c r="A41" s="16" t="s">
        <v>38</v>
      </c>
      <c r="B41" s="16">
        <v>12</v>
      </c>
      <c r="C41" s="12" t="s">
        <v>16</v>
      </c>
      <c r="D41" s="12">
        <v>16</v>
      </c>
      <c r="E41" s="13" t="s">
        <v>26</v>
      </c>
      <c r="F41" s="13">
        <v>5</v>
      </c>
    </row>
    <row r="42" spans="1:6" x14ac:dyDescent="0.3">
      <c r="A42" s="16" t="s">
        <v>39</v>
      </c>
      <c r="B42" s="16">
        <v>28</v>
      </c>
      <c r="C42" s="12" t="s">
        <v>17</v>
      </c>
      <c r="D42" s="12">
        <v>5</v>
      </c>
      <c r="E42" s="13" t="s">
        <v>27</v>
      </c>
      <c r="F42" s="13">
        <v>10</v>
      </c>
    </row>
    <row r="43" spans="1:6" x14ac:dyDescent="0.3">
      <c r="A43" s="16"/>
      <c r="B43" s="16"/>
      <c r="C43" s="12"/>
      <c r="D43" s="12"/>
      <c r="E43" s="13"/>
      <c r="F43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CF31-9E61-455F-8F5C-221759A1465E}">
  <dimension ref="A1:N28"/>
  <sheetViews>
    <sheetView topLeftCell="A8" zoomScale="110" workbookViewId="0">
      <selection activeCell="I34" sqref="I34"/>
    </sheetView>
  </sheetViews>
  <sheetFormatPr defaultRowHeight="14.4" x14ac:dyDescent="0.3"/>
  <cols>
    <col min="1" max="1" width="15.77734375" customWidth="1"/>
    <col min="2" max="2" width="14.88671875" customWidth="1"/>
    <col min="3" max="3" width="14" customWidth="1"/>
    <col min="4" max="4" width="13.77734375" customWidth="1"/>
    <col min="5" max="5" width="12.21875" customWidth="1"/>
    <col min="6" max="6" width="12" customWidth="1"/>
    <col min="8" max="8" width="14.109375" customWidth="1"/>
    <col min="9" max="9" width="14.77734375" customWidth="1"/>
    <col min="10" max="10" width="15.109375" customWidth="1"/>
    <col min="11" max="11" width="15.33203125" customWidth="1"/>
    <col min="12" max="12" width="14.77734375" customWidth="1"/>
    <col min="13" max="13" width="15.21875" customWidth="1"/>
    <col min="14" max="14" width="16" customWidth="1"/>
  </cols>
  <sheetData>
    <row r="1" spans="1:14" x14ac:dyDescent="0.3">
      <c r="A1" t="s">
        <v>40</v>
      </c>
    </row>
    <row r="2" spans="1:14" x14ac:dyDescent="0.3">
      <c r="A2" t="s">
        <v>46</v>
      </c>
    </row>
    <row r="3" spans="1:14" x14ac:dyDescent="0.3">
      <c r="A3" t="s">
        <v>7</v>
      </c>
      <c r="H3" t="s">
        <v>48</v>
      </c>
      <c r="L3" s="46" t="s">
        <v>49</v>
      </c>
      <c r="M3" s="46"/>
    </row>
    <row r="4" spans="1:14" x14ac:dyDescent="0.3">
      <c r="A4" s="3" t="s">
        <v>43</v>
      </c>
      <c r="B4" s="1" t="s">
        <v>41</v>
      </c>
      <c r="C4" s="3" t="s">
        <v>44</v>
      </c>
      <c r="D4" s="1" t="s">
        <v>45</v>
      </c>
      <c r="E4" s="3" t="s">
        <v>43</v>
      </c>
      <c r="F4" s="1" t="s">
        <v>41</v>
      </c>
      <c r="H4" s="1" t="s">
        <v>47</v>
      </c>
      <c r="I4" s="3" t="s">
        <v>45</v>
      </c>
      <c r="J4" s="3" t="s">
        <v>76</v>
      </c>
      <c r="L4" s="1" t="s">
        <v>47</v>
      </c>
      <c r="M4" s="3" t="s">
        <v>2</v>
      </c>
      <c r="N4" s="3" t="s">
        <v>76</v>
      </c>
    </row>
    <row r="5" spans="1:14" x14ac:dyDescent="0.3">
      <c r="A5" s="16" t="s">
        <v>42</v>
      </c>
      <c r="B5" s="16">
        <v>21</v>
      </c>
      <c r="C5" s="12" t="s">
        <v>8</v>
      </c>
      <c r="D5" s="12">
        <v>14</v>
      </c>
      <c r="E5" s="13" t="s">
        <v>18</v>
      </c>
      <c r="F5" s="13">
        <v>25</v>
      </c>
      <c r="H5" s="1">
        <v>1</v>
      </c>
      <c r="I5" s="1">
        <v>278</v>
      </c>
      <c r="J5" s="1">
        <v>17</v>
      </c>
      <c r="L5" s="1">
        <v>1</v>
      </c>
      <c r="M5" s="1">
        <v>315</v>
      </c>
      <c r="N5" s="1">
        <v>17</v>
      </c>
    </row>
    <row r="6" spans="1:14" x14ac:dyDescent="0.3">
      <c r="A6" s="16" t="s">
        <v>33</v>
      </c>
      <c r="B6" s="16">
        <v>37</v>
      </c>
      <c r="C6" s="12" t="s">
        <v>11</v>
      </c>
      <c r="D6" s="12">
        <v>30</v>
      </c>
      <c r="E6" s="13" t="s">
        <v>21</v>
      </c>
      <c r="F6" s="13">
        <v>23</v>
      </c>
      <c r="H6" s="1">
        <v>2</v>
      </c>
      <c r="I6" s="1">
        <v>292</v>
      </c>
      <c r="J6" s="1">
        <v>15</v>
      </c>
      <c r="L6" s="1">
        <v>2</v>
      </c>
      <c r="M6" s="1">
        <v>263</v>
      </c>
      <c r="N6" s="1">
        <v>15.5</v>
      </c>
    </row>
    <row r="7" spans="1:14" x14ac:dyDescent="0.3">
      <c r="A7" s="16" t="s">
        <v>36</v>
      </c>
      <c r="B7" s="16">
        <v>17</v>
      </c>
      <c r="C7" s="12" t="s">
        <v>14</v>
      </c>
      <c r="D7" s="12">
        <v>22</v>
      </c>
      <c r="E7" s="13" t="s">
        <v>24</v>
      </c>
      <c r="F7" s="13">
        <v>19</v>
      </c>
      <c r="H7" s="1">
        <v>3</v>
      </c>
      <c r="I7" s="1">
        <v>367</v>
      </c>
      <c r="J7" s="1">
        <v>18</v>
      </c>
      <c r="L7" s="1">
        <v>3</v>
      </c>
      <c r="M7" s="1">
        <v>405</v>
      </c>
      <c r="N7" s="1">
        <v>15</v>
      </c>
    </row>
    <row r="8" spans="1:14" x14ac:dyDescent="0.3">
      <c r="A8" s="16" t="s">
        <v>39</v>
      </c>
      <c r="B8" s="16">
        <v>0</v>
      </c>
      <c r="C8" s="12" t="s">
        <v>16</v>
      </c>
      <c r="D8" s="12">
        <v>16</v>
      </c>
      <c r="E8" s="13" t="s">
        <v>27</v>
      </c>
      <c r="F8" s="13">
        <v>9</v>
      </c>
      <c r="H8" s="1">
        <v>4</v>
      </c>
      <c r="I8" s="1">
        <v>359</v>
      </c>
      <c r="J8" s="1">
        <v>14</v>
      </c>
      <c r="L8" s="1">
        <v>4</v>
      </c>
      <c r="M8" s="1">
        <v>260</v>
      </c>
      <c r="N8" s="1">
        <v>14.5</v>
      </c>
    </row>
    <row r="9" spans="1:14" x14ac:dyDescent="0.3">
      <c r="A9" s="16"/>
      <c r="B9" s="16"/>
      <c r="C9" s="12"/>
      <c r="D9" s="12"/>
      <c r="E9" s="13"/>
      <c r="F9" s="13"/>
      <c r="H9" s="1">
        <v>5</v>
      </c>
      <c r="I9" s="1">
        <v>373</v>
      </c>
      <c r="J9" s="1">
        <v>17.5</v>
      </c>
      <c r="L9" s="1">
        <v>5</v>
      </c>
      <c r="M9" s="1">
        <v>360</v>
      </c>
      <c r="N9" s="1">
        <v>15.5</v>
      </c>
    </row>
    <row r="10" spans="1:14" x14ac:dyDescent="0.3">
      <c r="A10" s="18"/>
      <c r="B10" s="18"/>
      <c r="C10" s="18"/>
      <c r="D10" s="18"/>
      <c r="E10" s="18"/>
      <c r="F10" s="18"/>
      <c r="H10" s="1">
        <v>6</v>
      </c>
      <c r="I10" s="1">
        <v>279</v>
      </c>
      <c r="J10" s="1">
        <v>16.5</v>
      </c>
      <c r="L10" s="1">
        <v>6</v>
      </c>
      <c r="M10" s="1">
        <v>329</v>
      </c>
      <c r="N10" s="1">
        <v>15.5</v>
      </c>
    </row>
    <row r="11" spans="1:14" x14ac:dyDescent="0.3">
      <c r="A11" s="18" t="s">
        <v>28</v>
      </c>
      <c r="B11" s="18"/>
      <c r="C11" s="18"/>
      <c r="D11" s="18"/>
      <c r="E11" s="18"/>
      <c r="F11" s="18"/>
      <c r="H11" s="1">
        <v>7</v>
      </c>
      <c r="I11" s="1">
        <v>435</v>
      </c>
      <c r="J11" s="1">
        <v>17</v>
      </c>
      <c r="L11" s="1">
        <v>7</v>
      </c>
      <c r="M11" s="1">
        <v>255</v>
      </c>
      <c r="N11" s="1">
        <v>16</v>
      </c>
    </row>
    <row r="12" spans="1:14" x14ac:dyDescent="0.3">
      <c r="A12" s="16" t="s">
        <v>43</v>
      </c>
      <c r="B12" s="16" t="s">
        <v>41</v>
      </c>
      <c r="C12" s="12" t="s">
        <v>44</v>
      </c>
      <c r="D12" s="12" t="s">
        <v>41</v>
      </c>
      <c r="E12" s="13" t="s">
        <v>44</v>
      </c>
      <c r="F12" s="13" t="s">
        <v>41</v>
      </c>
      <c r="H12" s="1">
        <v>8</v>
      </c>
      <c r="I12" s="1">
        <v>436</v>
      </c>
      <c r="J12" s="1">
        <v>20</v>
      </c>
      <c r="L12" s="1">
        <v>8</v>
      </c>
      <c r="M12" s="1">
        <v>249</v>
      </c>
      <c r="N12" s="1">
        <v>13.5</v>
      </c>
    </row>
    <row r="13" spans="1:14" x14ac:dyDescent="0.3">
      <c r="A13" s="16" t="s">
        <v>30</v>
      </c>
      <c r="B13" s="16">
        <v>7</v>
      </c>
      <c r="C13" s="12" t="s">
        <v>8</v>
      </c>
      <c r="D13" s="12">
        <v>22</v>
      </c>
      <c r="E13" s="13" t="s">
        <v>18</v>
      </c>
      <c r="F13" s="13">
        <v>23</v>
      </c>
      <c r="H13" s="1">
        <v>9</v>
      </c>
      <c r="I13" s="1">
        <v>272</v>
      </c>
      <c r="J13" s="1">
        <v>17</v>
      </c>
      <c r="L13" s="1">
        <v>9</v>
      </c>
      <c r="M13" s="1">
        <v>351</v>
      </c>
      <c r="N13" s="1">
        <v>17.5</v>
      </c>
    </row>
    <row r="14" spans="1:14" x14ac:dyDescent="0.3">
      <c r="A14" s="16" t="s">
        <v>33</v>
      </c>
      <c r="B14" s="16">
        <v>13</v>
      </c>
      <c r="C14" s="12" t="s">
        <v>11</v>
      </c>
      <c r="D14" s="12">
        <v>13</v>
      </c>
      <c r="E14" s="13" t="s">
        <v>21</v>
      </c>
      <c r="F14" s="13">
        <v>0</v>
      </c>
      <c r="H14" s="1">
        <v>10</v>
      </c>
      <c r="I14" s="1">
        <v>138</v>
      </c>
      <c r="J14" s="1">
        <v>12</v>
      </c>
      <c r="L14" s="1">
        <v>10</v>
      </c>
      <c r="M14" s="1">
        <v>321</v>
      </c>
      <c r="N14" s="1">
        <v>15</v>
      </c>
    </row>
    <row r="15" spans="1:14" x14ac:dyDescent="0.3">
      <c r="A15" s="16" t="s">
        <v>36</v>
      </c>
      <c r="B15" s="16">
        <v>11</v>
      </c>
      <c r="C15" s="12" t="s">
        <v>14</v>
      </c>
      <c r="D15" s="12">
        <v>23</v>
      </c>
      <c r="E15" s="13" t="s">
        <v>24</v>
      </c>
      <c r="F15" s="13">
        <v>18</v>
      </c>
      <c r="H15" s="1">
        <v>11</v>
      </c>
      <c r="I15" s="1">
        <v>396</v>
      </c>
      <c r="J15" s="1">
        <v>17</v>
      </c>
      <c r="L15" s="1" t="s">
        <v>142</v>
      </c>
      <c r="M15" s="1">
        <f>AVERAGE(M5:M14)</f>
        <v>310.8</v>
      </c>
      <c r="N15" s="1">
        <f>AVERAGE(N5:N14)</f>
        <v>15.5</v>
      </c>
    </row>
    <row r="16" spans="1:14" x14ac:dyDescent="0.3">
      <c r="A16" s="16" t="s">
        <v>38</v>
      </c>
      <c r="B16" s="16">
        <v>0</v>
      </c>
      <c r="C16" s="12"/>
      <c r="D16" s="12"/>
      <c r="E16" s="13" t="s">
        <v>27</v>
      </c>
      <c r="F16" s="13">
        <v>11</v>
      </c>
      <c r="H16" s="1">
        <v>12</v>
      </c>
      <c r="I16" s="1">
        <v>357</v>
      </c>
      <c r="J16" s="1">
        <v>18</v>
      </c>
      <c r="L16" s="1" t="s">
        <v>143</v>
      </c>
      <c r="M16" s="1">
        <f>_xlfn.STDEV.S(M5:M14)</f>
        <v>52.874694640568194</v>
      </c>
      <c r="N16" s="1">
        <f>_xlfn.STDEV.S(N5:N14)</f>
        <v>1.1547005383792515</v>
      </c>
    </row>
    <row r="17" spans="1:14" x14ac:dyDescent="0.3">
      <c r="A17" s="16" t="s">
        <v>39</v>
      </c>
      <c r="B17" s="16">
        <v>16</v>
      </c>
      <c r="C17" s="12"/>
      <c r="D17" s="12"/>
      <c r="E17" s="13"/>
      <c r="F17" s="13"/>
      <c r="H17" s="1" t="s">
        <v>142</v>
      </c>
      <c r="I17" s="1">
        <f>AVERAGE(I5:I16)</f>
        <v>331.83333333333331</v>
      </c>
      <c r="J17" s="1">
        <f>AVERAGE(J5:J16)</f>
        <v>16.583333333333332</v>
      </c>
      <c r="L17" s="1"/>
      <c r="M17" s="1"/>
      <c r="N17" s="1"/>
    </row>
    <row r="18" spans="1:14" x14ac:dyDescent="0.3">
      <c r="A18" s="16"/>
      <c r="B18" s="16"/>
      <c r="C18" s="12"/>
      <c r="D18" s="12"/>
      <c r="E18" s="13"/>
      <c r="F18" s="13"/>
      <c r="H18" s="1" t="s">
        <v>143</v>
      </c>
      <c r="I18" s="1">
        <f>_xlfn.STDEV.S(I5:I16)</f>
        <v>84.391763205716373</v>
      </c>
      <c r="J18" s="1">
        <f>_xlfn.STDEV.S(J5:J16)</f>
        <v>2.0761999086326073</v>
      </c>
      <c r="L18" s="1"/>
      <c r="M18" s="1"/>
      <c r="N18" s="1"/>
    </row>
    <row r="19" spans="1:14" x14ac:dyDescent="0.3">
      <c r="A19" s="18"/>
      <c r="B19" s="18"/>
      <c r="C19" s="18"/>
      <c r="D19" s="18"/>
      <c r="E19" s="18"/>
      <c r="F19" s="18"/>
      <c r="H19" s="1"/>
      <c r="I19" s="1"/>
      <c r="J19" s="1"/>
      <c r="L19" s="1"/>
      <c r="M19" s="1"/>
      <c r="N19" s="1"/>
    </row>
    <row r="20" spans="1:14" x14ac:dyDescent="0.3">
      <c r="A20" s="18" t="s">
        <v>29</v>
      </c>
      <c r="B20" s="18"/>
      <c r="C20" s="18"/>
      <c r="D20" s="18"/>
      <c r="E20" s="18"/>
      <c r="F20" s="18"/>
    </row>
    <row r="21" spans="1:14" x14ac:dyDescent="0.3">
      <c r="A21" s="16" t="s">
        <v>43</v>
      </c>
      <c r="B21" s="16" t="s">
        <v>41</v>
      </c>
      <c r="C21" s="12" t="s">
        <v>44</v>
      </c>
      <c r="D21" s="12" t="s">
        <v>41</v>
      </c>
      <c r="E21" s="13" t="s">
        <v>44</v>
      </c>
      <c r="F21" s="13" t="s">
        <v>41</v>
      </c>
      <c r="H21" t="s">
        <v>50</v>
      </c>
    </row>
    <row r="22" spans="1:14" x14ac:dyDescent="0.3">
      <c r="A22" s="16" t="s">
        <v>30</v>
      </c>
      <c r="B22" s="16">
        <v>26</v>
      </c>
      <c r="C22" s="12" t="s">
        <v>8</v>
      </c>
      <c r="D22" s="12">
        <v>6</v>
      </c>
      <c r="E22" s="13" t="s">
        <v>18</v>
      </c>
      <c r="F22" s="13">
        <v>26</v>
      </c>
      <c r="H22" s="3" t="s">
        <v>51</v>
      </c>
      <c r="I22" s="3" t="s">
        <v>52</v>
      </c>
      <c r="J22" s="3" t="s">
        <v>53</v>
      </c>
      <c r="K22" s="3" t="s">
        <v>54</v>
      </c>
      <c r="L22" s="3" t="s">
        <v>55</v>
      </c>
      <c r="M22" s="3" t="s">
        <v>79</v>
      </c>
      <c r="N22" s="3" t="s">
        <v>56</v>
      </c>
    </row>
    <row r="23" spans="1:14" x14ac:dyDescent="0.3">
      <c r="A23" s="16" t="s">
        <v>34</v>
      </c>
      <c r="B23" s="16">
        <v>20</v>
      </c>
      <c r="C23" s="12" t="s">
        <v>11</v>
      </c>
      <c r="D23" s="12">
        <v>14</v>
      </c>
      <c r="E23" s="13" t="s">
        <v>21</v>
      </c>
      <c r="F23" s="13">
        <v>11</v>
      </c>
      <c r="H23" s="1" t="s">
        <v>59</v>
      </c>
      <c r="I23" s="1">
        <v>8.1300000000000008</v>
      </c>
      <c r="J23" s="1">
        <v>16.579999999999998</v>
      </c>
      <c r="K23" s="1">
        <v>20.74</v>
      </c>
      <c r="L23" s="1">
        <v>27.9</v>
      </c>
      <c r="M23" s="1">
        <v>6.32</v>
      </c>
      <c r="N23" s="1">
        <v>24.4</v>
      </c>
    </row>
    <row r="24" spans="1:14" x14ac:dyDescent="0.3">
      <c r="A24" s="16" t="s">
        <v>39</v>
      </c>
      <c r="B24" s="16">
        <v>29</v>
      </c>
      <c r="C24" s="12" t="s">
        <v>15</v>
      </c>
      <c r="D24" s="12">
        <v>23</v>
      </c>
      <c r="E24" s="13" t="s">
        <v>24</v>
      </c>
      <c r="F24" s="13">
        <v>16</v>
      </c>
      <c r="H24" s="1" t="s">
        <v>60</v>
      </c>
      <c r="I24" s="1">
        <v>8.17</v>
      </c>
      <c r="J24" s="1">
        <v>16.420000000000002</v>
      </c>
      <c r="K24" s="1">
        <v>20.55</v>
      </c>
      <c r="L24" s="1">
        <v>28.4</v>
      </c>
      <c r="M24" s="1">
        <v>5.6959999999999997</v>
      </c>
      <c r="N24" s="1">
        <v>24.3</v>
      </c>
    </row>
    <row r="25" spans="1:14" x14ac:dyDescent="0.3">
      <c r="A25" s="16"/>
      <c r="B25" s="16"/>
      <c r="C25" s="12" t="s">
        <v>17</v>
      </c>
      <c r="D25" s="12">
        <v>6</v>
      </c>
      <c r="E25" s="13" t="s">
        <v>27</v>
      </c>
      <c r="F25" s="13">
        <v>11</v>
      </c>
      <c r="H25" s="1" t="s">
        <v>61</v>
      </c>
      <c r="I25" s="1">
        <v>8.2799999999999994</v>
      </c>
      <c r="J25" s="1">
        <v>16.54</v>
      </c>
      <c r="K25" s="1">
        <v>20.69</v>
      </c>
      <c r="L25" s="1">
        <v>28.3</v>
      </c>
      <c r="M25" s="1">
        <v>5.69</v>
      </c>
      <c r="N25" s="1">
        <v>24.3</v>
      </c>
    </row>
    <row r="26" spans="1:14" x14ac:dyDescent="0.3">
      <c r="A26" s="16"/>
      <c r="B26" s="16"/>
      <c r="C26" s="12"/>
      <c r="D26" s="12"/>
      <c r="E26" s="13"/>
      <c r="F26" s="13"/>
      <c r="G26" t="s">
        <v>57</v>
      </c>
      <c r="H26" s="1" t="s">
        <v>58</v>
      </c>
      <c r="I26" s="1">
        <v>8.11</v>
      </c>
      <c r="J26" s="1">
        <v>16.46</v>
      </c>
      <c r="K26" s="1">
        <v>20.57</v>
      </c>
      <c r="L26" s="1">
        <v>29.3</v>
      </c>
      <c r="M26" s="1">
        <v>4.0640000000000001</v>
      </c>
      <c r="N26" s="1">
        <v>24.2</v>
      </c>
    </row>
    <row r="27" spans="1:14" x14ac:dyDescent="0.3">
      <c r="A27" s="16"/>
      <c r="B27" s="16"/>
      <c r="C27" s="12"/>
      <c r="D27" s="12"/>
      <c r="E27" s="13"/>
      <c r="F27" s="13"/>
      <c r="H27" s="1" t="s">
        <v>62</v>
      </c>
      <c r="I27" s="1">
        <v>8.1999999999999993</v>
      </c>
      <c r="J27" s="1">
        <v>16.47</v>
      </c>
      <c r="K27" s="1">
        <v>20.59</v>
      </c>
      <c r="L27" s="1">
        <v>28.8</v>
      </c>
      <c r="M27" s="1">
        <v>4.4800000000000004</v>
      </c>
      <c r="N27" s="1">
        <v>24.2</v>
      </c>
    </row>
    <row r="28" spans="1:14" x14ac:dyDescent="0.3">
      <c r="A28" s="16"/>
      <c r="B28" s="16"/>
      <c r="C28" s="12"/>
      <c r="D28" s="12"/>
      <c r="E28" s="13"/>
      <c r="F28" s="13"/>
      <c r="H28" s="1" t="s">
        <v>61</v>
      </c>
      <c r="I28" s="1">
        <v>8.15</v>
      </c>
      <c r="J28" s="1">
        <v>16.600000000000001</v>
      </c>
      <c r="K28" s="1">
        <v>20.77</v>
      </c>
      <c r="L28" s="1">
        <v>27.9</v>
      </c>
      <c r="M28" s="1">
        <v>6.1120000000000001</v>
      </c>
      <c r="N28" s="1">
        <v>24.4</v>
      </c>
    </row>
  </sheetData>
  <mergeCells count="1">
    <mergeCell ref="L3:M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76AB-8422-4CB3-A32C-65A8E18CB077}">
  <dimension ref="A1:S22"/>
  <sheetViews>
    <sheetView zoomScale="77" zoomScaleNormal="85" workbookViewId="0">
      <selection activeCell="C29" sqref="C29"/>
    </sheetView>
  </sheetViews>
  <sheetFormatPr defaultRowHeight="14.4" x14ac:dyDescent="0.3"/>
  <cols>
    <col min="1" max="1" width="14.109375" customWidth="1"/>
    <col min="2" max="2" width="12.88671875" customWidth="1"/>
    <col min="3" max="3" width="14.6640625" customWidth="1"/>
    <col min="4" max="4" width="14.44140625" customWidth="1"/>
    <col min="5" max="5" width="14.33203125" customWidth="1"/>
    <col min="6" max="6" width="15.6640625" customWidth="1"/>
    <col min="7" max="7" width="16" customWidth="1"/>
    <col min="12" max="12" width="13.77734375" customWidth="1"/>
    <col min="13" max="13" width="14" customWidth="1"/>
    <col min="14" max="14" width="15.44140625" customWidth="1"/>
    <col min="17" max="17" width="15.21875" customWidth="1"/>
    <col min="18" max="18" width="13.109375" customWidth="1"/>
    <col min="19" max="19" width="13" customWidth="1"/>
  </cols>
  <sheetData>
    <row r="1" spans="1:19" x14ac:dyDescent="0.3">
      <c r="A1" t="s">
        <v>63</v>
      </c>
    </row>
    <row r="2" spans="1:19" x14ac:dyDescent="0.3">
      <c r="A2" t="s">
        <v>68</v>
      </c>
    </row>
    <row r="3" spans="1:19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77</v>
      </c>
      <c r="G3" s="3" t="s">
        <v>56</v>
      </c>
      <c r="L3" t="s">
        <v>90</v>
      </c>
    </row>
    <row r="4" spans="1:19" x14ac:dyDescent="0.3">
      <c r="A4" s="1" t="s">
        <v>67</v>
      </c>
      <c r="B4" s="1">
        <v>8.1999999999999993</v>
      </c>
      <c r="C4" s="1">
        <v>18.170000000000002</v>
      </c>
      <c r="D4" s="1">
        <v>22.94</v>
      </c>
      <c r="E4" s="1">
        <v>26.3</v>
      </c>
      <c r="F4" s="1">
        <v>6.9939999999999998</v>
      </c>
      <c r="G4" s="1">
        <v>26.7</v>
      </c>
      <c r="L4" t="s">
        <v>48</v>
      </c>
      <c r="Q4" t="s">
        <v>75</v>
      </c>
    </row>
    <row r="5" spans="1:19" x14ac:dyDescent="0.3">
      <c r="A5" s="1" t="s">
        <v>66</v>
      </c>
      <c r="B5" s="1">
        <v>8.24</v>
      </c>
      <c r="C5" s="1">
        <v>18.100000000000001</v>
      </c>
      <c r="D5" s="1">
        <v>22.87</v>
      </c>
      <c r="E5" s="1">
        <v>26.5</v>
      </c>
      <c r="F5" s="1">
        <v>8.1920000000000002</v>
      </c>
      <c r="G5" s="1">
        <v>26.6</v>
      </c>
      <c r="L5" s="1" t="s">
        <v>47</v>
      </c>
      <c r="M5" s="3" t="s">
        <v>2</v>
      </c>
      <c r="N5" s="3" t="s">
        <v>0</v>
      </c>
      <c r="Q5" s="1" t="s">
        <v>47</v>
      </c>
      <c r="R5" s="3" t="s">
        <v>2</v>
      </c>
      <c r="S5" s="3" t="s">
        <v>0</v>
      </c>
    </row>
    <row r="6" spans="1:19" x14ac:dyDescent="0.3">
      <c r="A6" s="1" t="s">
        <v>65</v>
      </c>
      <c r="B6" s="1">
        <v>8.16</v>
      </c>
      <c r="C6" s="1">
        <v>18.13</v>
      </c>
      <c r="D6" s="1">
        <v>22.9</v>
      </c>
      <c r="E6" s="1">
        <v>26.3</v>
      </c>
      <c r="F6" s="1">
        <v>8.1920000000000002</v>
      </c>
      <c r="G6" s="1">
        <v>26.7</v>
      </c>
      <c r="L6" s="1">
        <v>1</v>
      </c>
      <c r="M6" s="1">
        <v>248</v>
      </c>
      <c r="N6" s="1">
        <v>13.5</v>
      </c>
      <c r="Q6" s="1">
        <v>1</v>
      </c>
      <c r="R6" s="1">
        <v>447</v>
      </c>
      <c r="S6" s="1">
        <v>17</v>
      </c>
    </row>
    <row r="7" spans="1:19" x14ac:dyDescent="0.3">
      <c r="A7" s="1" t="s">
        <v>74</v>
      </c>
      <c r="B7" s="1">
        <v>8.25</v>
      </c>
      <c r="C7" s="1">
        <v>18.13</v>
      </c>
      <c r="D7" s="1">
        <v>22.91</v>
      </c>
      <c r="E7" s="1">
        <v>26.6</v>
      </c>
      <c r="F7" s="1">
        <v>10.27</v>
      </c>
      <c r="G7" s="1">
        <v>26.7</v>
      </c>
      <c r="L7" s="1">
        <v>2</v>
      </c>
      <c r="M7" s="1">
        <v>276</v>
      </c>
      <c r="N7" s="1">
        <v>14</v>
      </c>
      <c r="Q7" s="1">
        <v>2</v>
      </c>
      <c r="R7" s="1">
        <v>361</v>
      </c>
      <c r="S7" s="1">
        <v>17.5</v>
      </c>
    </row>
    <row r="8" spans="1:19" x14ac:dyDescent="0.3">
      <c r="A8" s="1" t="s">
        <v>66</v>
      </c>
      <c r="B8" s="1">
        <v>8.2200000000000006</v>
      </c>
      <c r="C8" s="1">
        <v>19.61</v>
      </c>
      <c r="D8" s="1">
        <v>24.97</v>
      </c>
      <c r="E8" s="1">
        <v>26.6</v>
      </c>
      <c r="F8" s="1">
        <v>7.36</v>
      </c>
      <c r="G8" s="1">
        <v>28.8</v>
      </c>
      <c r="L8" s="1">
        <v>3</v>
      </c>
      <c r="M8" s="1">
        <v>260</v>
      </c>
      <c r="N8" s="1">
        <v>14.5</v>
      </c>
      <c r="Q8" s="1">
        <v>3</v>
      </c>
      <c r="R8" s="1">
        <v>228</v>
      </c>
      <c r="S8" s="1">
        <v>14</v>
      </c>
    </row>
    <row r="9" spans="1:19" x14ac:dyDescent="0.3">
      <c r="A9" s="1" t="s">
        <v>65</v>
      </c>
      <c r="B9" s="1">
        <v>8.23</v>
      </c>
      <c r="C9" s="1">
        <v>17.989999999999998</v>
      </c>
      <c r="D9" s="1">
        <v>22.7</v>
      </c>
      <c r="E9" s="1">
        <v>26.6</v>
      </c>
      <c r="F9" s="1">
        <v>6.52</v>
      </c>
      <c r="G9" s="1">
        <v>26.5</v>
      </c>
      <c r="L9" s="1">
        <v>4</v>
      </c>
      <c r="M9" s="1">
        <v>316</v>
      </c>
      <c r="N9" s="1">
        <v>17</v>
      </c>
      <c r="Q9" s="1">
        <v>4</v>
      </c>
      <c r="R9" s="1">
        <v>147</v>
      </c>
      <c r="S9" s="1">
        <v>13</v>
      </c>
    </row>
    <row r="10" spans="1:19" x14ac:dyDescent="0.3">
      <c r="D10" s="4"/>
      <c r="L10" s="1">
        <v>5</v>
      </c>
      <c r="M10" s="1">
        <v>123</v>
      </c>
      <c r="N10" s="1">
        <v>11.5</v>
      </c>
      <c r="Q10" s="1">
        <v>5</v>
      </c>
      <c r="R10" s="1">
        <v>213</v>
      </c>
      <c r="S10" s="1">
        <v>13.5</v>
      </c>
    </row>
    <row r="11" spans="1:19" x14ac:dyDescent="0.3">
      <c r="A11" t="s">
        <v>69</v>
      </c>
      <c r="L11" s="1">
        <v>6</v>
      </c>
      <c r="M11" s="1">
        <v>262</v>
      </c>
      <c r="N11" s="1">
        <v>14</v>
      </c>
      <c r="Q11" s="1">
        <v>6</v>
      </c>
      <c r="R11" s="1">
        <v>349</v>
      </c>
      <c r="S11" s="1">
        <v>18</v>
      </c>
    </row>
    <row r="12" spans="1:19" x14ac:dyDescent="0.3">
      <c r="A12" s="3" t="s">
        <v>64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L12" s="1">
        <v>7</v>
      </c>
      <c r="M12" s="1">
        <v>387</v>
      </c>
      <c r="N12" s="1">
        <v>17</v>
      </c>
      <c r="Q12" s="1">
        <v>7</v>
      </c>
      <c r="R12" s="1">
        <v>134</v>
      </c>
      <c r="S12" s="1">
        <v>12.5</v>
      </c>
    </row>
    <row r="13" spans="1:19" x14ac:dyDescent="0.3">
      <c r="A13" s="1" t="s">
        <v>70</v>
      </c>
      <c r="B13" s="1">
        <v>63</v>
      </c>
      <c r="C13" s="1">
        <v>94</v>
      </c>
      <c r="D13" s="1">
        <v>19</v>
      </c>
      <c r="E13" s="1">
        <v>53</v>
      </c>
      <c r="F13" s="1">
        <v>23</v>
      </c>
      <c r="G13" s="1">
        <v>71</v>
      </c>
      <c r="L13" s="1">
        <v>8</v>
      </c>
      <c r="M13" s="1">
        <v>403</v>
      </c>
      <c r="N13" s="1">
        <v>17.5</v>
      </c>
      <c r="Q13" s="1">
        <v>8</v>
      </c>
      <c r="R13" s="1">
        <v>280</v>
      </c>
      <c r="S13" s="1">
        <v>14.5</v>
      </c>
    </row>
    <row r="14" spans="1:19" x14ac:dyDescent="0.3">
      <c r="A14" s="1" t="s">
        <v>71</v>
      </c>
      <c r="B14" s="1">
        <v>54</v>
      </c>
      <c r="C14" s="1">
        <v>81</v>
      </c>
      <c r="D14" s="1">
        <v>16</v>
      </c>
      <c r="E14" s="1">
        <v>131</v>
      </c>
      <c r="F14" s="1">
        <v>57</v>
      </c>
      <c r="G14" s="1">
        <v>176</v>
      </c>
      <c r="L14" s="1">
        <v>9</v>
      </c>
      <c r="M14" s="1">
        <v>306</v>
      </c>
      <c r="N14" s="1">
        <v>17.5</v>
      </c>
      <c r="Q14" s="1">
        <v>9</v>
      </c>
      <c r="R14" s="1">
        <v>372</v>
      </c>
      <c r="S14" s="1">
        <v>18</v>
      </c>
    </row>
    <row r="15" spans="1:19" x14ac:dyDescent="0.3">
      <c r="A15" s="1" t="s">
        <v>72</v>
      </c>
      <c r="B15" s="1">
        <v>55</v>
      </c>
      <c r="C15" s="1">
        <v>83</v>
      </c>
      <c r="D15" s="1">
        <v>17</v>
      </c>
      <c r="E15" s="1">
        <v>9</v>
      </c>
      <c r="F15" s="1">
        <v>4</v>
      </c>
      <c r="G15" s="1">
        <v>12</v>
      </c>
      <c r="L15" s="1">
        <v>10</v>
      </c>
      <c r="M15" s="1">
        <v>142</v>
      </c>
      <c r="N15" s="1">
        <v>12.5</v>
      </c>
      <c r="Q15" s="1">
        <v>10</v>
      </c>
      <c r="R15" s="1">
        <v>112</v>
      </c>
      <c r="S15" s="1">
        <v>10.5</v>
      </c>
    </row>
    <row r="16" spans="1:19" x14ac:dyDescent="0.3">
      <c r="A16" s="1" t="s">
        <v>73</v>
      </c>
      <c r="B16" s="1">
        <v>46</v>
      </c>
      <c r="C16" s="1" t="s">
        <v>78</v>
      </c>
      <c r="D16" s="1" t="s">
        <v>78</v>
      </c>
      <c r="E16" s="1">
        <v>113</v>
      </c>
      <c r="F16" s="1">
        <v>49</v>
      </c>
      <c r="G16" s="1">
        <v>151</v>
      </c>
      <c r="L16" s="1" t="s">
        <v>142</v>
      </c>
      <c r="M16" s="1">
        <f>AVERAGE(M6:M15)</f>
        <v>272.3</v>
      </c>
      <c r="N16" s="1">
        <f>AVERAGE(N6:N15)</f>
        <v>14.9</v>
      </c>
      <c r="Q16" s="1">
        <v>11</v>
      </c>
      <c r="R16" s="1">
        <v>402</v>
      </c>
      <c r="S16" s="1">
        <v>18</v>
      </c>
    </row>
    <row r="17" spans="1:19" x14ac:dyDescent="0.3">
      <c r="A17" s="1" t="s">
        <v>71</v>
      </c>
      <c r="B17" s="1">
        <v>68</v>
      </c>
      <c r="C17" s="1">
        <v>102</v>
      </c>
      <c r="D17" s="1">
        <v>21</v>
      </c>
      <c r="E17" s="1">
        <v>48</v>
      </c>
      <c r="F17" s="1">
        <v>21</v>
      </c>
      <c r="G17" s="1">
        <v>64</v>
      </c>
      <c r="L17" s="1" t="s">
        <v>143</v>
      </c>
      <c r="M17" s="1">
        <f>_xlfn.STDEV.S(M6:M15)</f>
        <v>90.316788152713997</v>
      </c>
      <c r="N17" s="1">
        <f>_xlfn.STDEV.S(N6:N15)</f>
        <v>2.1959558789334164</v>
      </c>
      <c r="Q17" s="1">
        <v>12</v>
      </c>
      <c r="R17" s="1">
        <v>378</v>
      </c>
      <c r="S17" s="1">
        <v>18.5</v>
      </c>
    </row>
    <row r="18" spans="1:19" x14ac:dyDescent="0.3">
      <c r="A18" s="1" t="s">
        <v>72</v>
      </c>
      <c r="B18" s="1">
        <v>72</v>
      </c>
      <c r="C18" s="1">
        <v>108</v>
      </c>
      <c r="D18" s="1">
        <v>22</v>
      </c>
      <c r="E18" s="1">
        <v>60</v>
      </c>
      <c r="F18" s="1">
        <v>26</v>
      </c>
      <c r="G18" s="1">
        <v>80</v>
      </c>
      <c r="L18" s="1"/>
      <c r="M18" s="1"/>
      <c r="N18" s="1"/>
      <c r="Q18" s="1">
        <v>13</v>
      </c>
      <c r="R18" s="1">
        <v>277</v>
      </c>
      <c r="S18" s="1">
        <v>15</v>
      </c>
    </row>
    <row r="19" spans="1:19" x14ac:dyDescent="0.3">
      <c r="L19" s="1"/>
      <c r="M19" s="1"/>
      <c r="N19" s="1"/>
      <c r="Q19" s="1">
        <v>14</v>
      </c>
      <c r="R19" s="1">
        <v>243</v>
      </c>
      <c r="S19" s="1">
        <v>16</v>
      </c>
    </row>
    <row r="20" spans="1:19" x14ac:dyDescent="0.3">
      <c r="L20" s="1"/>
      <c r="M20" s="1"/>
      <c r="N20" s="1"/>
      <c r="Q20" s="1" t="s">
        <v>142</v>
      </c>
      <c r="R20" s="1">
        <f>AVERAGE(R6:R19)</f>
        <v>281.64285714285717</v>
      </c>
      <c r="S20" s="1">
        <f>AVERAGE(S6:S19)</f>
        <v>15.428571428571429</v>
      </c>
    </row>
    <row r="21" spans="1:19" x14ac:dyDescent="0.3">
      <c r="Q21" s="1" t="s">
        <v>143</v>
      </c>
      <c r="R21" s="1">
        <f>_xlfn.STDEV.S(R6:R19)</f>
        <v>106.67175182475742</v>
      </c>
      <c r="S21" s="1">
        <f>_xlfn.STDEV.S(S6:S19)</f>
        <v>2.5104178541027413</v>
      </c>
    </row>
    <row r="22" spans="1:19" x14ac:dyDescent="0.3">
      <c r="Q22" s="1"/>
      <c r="R22" s="1"/>
      <c r="S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6BA6-2CC0-46A3-AE8E-5F81ABD01E68}">
  <dimension ref="A2:P12"/>
  <sheetViews>
    <sheetView zoomScale="85" zoomScaleNormal="100" workbookViewId="0">
      <selection activeCell="F31" sqref="F31"/>
    </sheetView>
  </sheetViews>
  <sheetFormatPr defaultRowHeight="14.4" x14ac:dyDescent="0.3"/>
  <cols>
    <col min="1" max="1" width="14.5546875" customWidth="1"/>
    <col min="2" max="2" width="13.88671875" customWidth="1"/>
    <col min="3" max="3" width="13.77734375" customWidth="1"/>
    <col min="4" max="4" width="12.6640625" customWidth="1"/>
    <col min="5" max="5" width="13.44140625" customWidth="1"/>
    <col min="6" max="6" width="14.5546875" customWidth="1"/>
    <col min="7" max="7" width="15.21875" customWidth="1"/>
    <col min="10" max="10" width="13.44140625" customWidth="1"/>
    <col min="11" max="11" width="12.88671875" customWidth="1"/>
    <col min="12" max="12" width="13.21875" customWidth="1"/>
    <col min="14" max="14" width="11.33203125" customWidth="1"/>
    <col min="15" max="15" width="11" customWidth="1"/>
    <col min="16" max="16" width="12.33203125" customWidth="1"/>
  </cols>
  <sheetData>
    <row r="2" spans="1:16" x14ac:dyDescent="0.3">
      <c r="A2" t="s">
        <v>91</v>
      </c>
      <c r="J2" t="s">
        <v>92</v>
      </c>
    </row>
    <row r="4" spans="1:16" x14ac:dyDescent="0.3">
      <c r="A4" s="3" t="s">
        <v>51</v>
      </c>
      <c r="B4" s="3" t="s">
        <v>86</v>
      </c>
      <c r="C4" s="3" t="s">
        <v>53</v>
      </c>
      <c r="D4" s="3" t="s">
        <v>87</v>
      </c>
      <c r="E4" s="3" t="s">
        <v>55</v>
      </c>
      <c r="F4" s="3" t="s">
        <v>88</v>
      </c>
      <c r="G4" s="3" t="s">
        <v>56</v>
      </c>
      <c r="J4" t="s">
        <v>48</v>
      </c>
      <c r="N4" s="46" t="s">
        <v>49</v>
      </c>
      <c r="O4" s="46"/>
    </row>
    <row r="5" spans="1:16" x14ac:dyDescent="0.3">
      <c r="A5" s="1" t="s">
        <v>67</v>
      </c>
      <c r="B5" s="1">
        <v>8.33</v>
      </c>
      <c r="C5" s="1">
        <v>17.36</v>
      </c>
      <c r="D5" s="1">
        <v>21.83</v>
      </c>
      <c r="E5" s="1">
        <v>25.8</v>
      </c>
      <c r="F5" s="1">
        <v>5.6959999999999997</v>
      </c>
      <c r="G5" s="1">
        <v>25.5</v>
      </c>
      <c r="J5" s="1" t="s">
        <v>47</v>
      </c>
      <c r="K5" s="3" t="s">
        <v>45</v>
      </c>
      <c r="L5" s="3" t="s">
        <v>76</v>
      </c>
      <c r="N5" s="1" t="s">
        <v>47</v>
      </c>
      <c r="O5" s="3" t="s">
        <v>2</v>
      </c>
      <c r="P5" s="3" t="s">
        <v>76</v>
      </c>
    </row>
    <row r="6" spans="1:16" x14ac:dyDescent="0.3">
      <c r="A6" s="1" t="s">
        <v>60</v>
      </c>
      <c r="B6" s="1">
        <v>8.35</v>
      </c>
      <c r="C6" s="1">
        <v>17.28</v>
      </c>
      <c r="D6" s="1">
        <v>21.71</v>
      </c>
      <c r="E6" s="1">
        <v>25.6</v>
      </c>
      <c r="F6" s="1">
        <v>8.1920000000000002</v>
      </c>
      <c r="G6" s="1">
        <v>25.4</v>
      </c>
      <c r="J6" s="1">
        <v>1</v>
      </c>
      <c r="K6" s="1">
        <v>364</v>
      </c>
      <c r="L6" s="1">
        <v>17</v>
      </c>
      <c r="N6" s="1">
        <v>1</v>
      </c>
      <c r="O6" s="1">
        <v>520</v>
      </c>
      <c r="P6" s="1">
        <v>20</v>
      </c>
    </row>
    <row r="7" spans="1:16" x14ac:dyDescent="0.3">
      <c r="A7" s="1" t="s">
        <v>61</v>
      </c>
      <c r="B7" s="1">
        <v>8.3699999999999992</v>
      </c>
      <c r="C7" s="1">
        <v>17.329999999999998</v>
      </c>
      <c r="D7" s="1">
        <v>21.78</v>
      </c>
      <c r="E7" s="1">
        <v>25.6</v>
      </c>
      <c r="F7" s="1">
        <v>7.36</v>
      </c>
      <c r="G7" s="1">
        <v>25.5</v>
      </c>
      <c r="J7" s="1">
        <v>2</v>
      </c>
      <c r="K7" s="1">
        <v>288</v>
      </c>
      <c r="L7" s="1">
        <v>16.5</v>
      </c>
      <c r="N7" s="1">
        <v>2</v>
      </c>
      <c r="O7" s="1">
        <v>396</v>
      </c>
      <c r="P7" s="1">
        <v>17.5</v>
      </c>
    </row>
    <row r="8" spans="1:16" x14ac:dyDescent="0.3">
      <c r="A8" s="1" t="s">
        <v>74</v>
      </c>
      <c r="B8" s="1">
        <v>8.36</v>
      </c>
      <c r="C8" s="1">
        <v>17.309999999999999</v>
      </c>
      <c r="D8" s="1">
        <v>21.74</v>
      </c>
      <c r="E8" s="1">
        <v>25.9</v>
      </c>
      <c r="F8" s="1">
        <v>6.944</v>
      </c>
      <c r="G8" s="1">
        <v>25.5</v>
      </c>
      <c r="J8" s="1">
        <v>3</v>
      </c>
      <c r="K8" s="1">
        <v>421</v>
      </c>
      <c r="L8" s="1">
        <v>19.5</v>
      </c>
      <c r="N8" s="1">
        <v>3</v>
      </c>
      <c r="O8" s="1">
        <v>241</v>
      </c>
      <c r="P8" s="1">
        <v>14</v>
      </c>
    </row>
    <row r="9" spans="1:16" x14ac:dyDescent="0.3">
      <c r="A9" s="1" t="s">
        <v>60</v>
      </c>
      <c r="B9" s="1">
        <v>8.3800000000000008</v>
      </c>
      <c r="C9" s="1">
        <v>17.32</v>
      </c>
      <c r="D9" s="1">
        <v>21.77</v>
      </c>
      <c r="E9" s="1">
        <v>25.9</v>
      </c>
      <c r="F9" s="1">
        <v>7.36</v>
      </c>
      <c r="G9" s="1">
        <v>25.5</v>
      </c>
      <c r="J9" s="1">
        <v>4</v>
      </c>
      <c r="K9" s="1">
        <v>307</v>
      </c>
      <c r="L9" s="1">
        <v>16.5</v>
      </c>
      <c r="N9" s="1">
        <v>4</v>
      </c>
      <c r="O9" s="1">
        <v>294</v>
      </c>
      <c r="P9" s="1">
        <v>14</v>
      </c>
    </row>
    <row r="10" spans="1:16" x14ac:dyDescent="0.3">
      <c r="A10" s="1" t="s">
        <v>61</v>
      </c>
      <c r="B10" s="1">
        <v>8.3699999999999992</v>
      </c>
      <c r="C10" s="1">
        <v>17.309999999999999</v>
      </c>
      <c r="D10" s="1">
        <v>21.76</v>
      </c>
      <c r="E10" s="1">
        <v>25.9</v>
      </c>
      <c r="F10" s="1">
        <v>8.6080000000000005</v>
      </c>
      <c r="G10" s="1">
        <v>25.4</v>
      </c>
      <c r="J10" s="1" t="s">
        <v>142</v>
      </c>
      <c r="K10" s="1">
        <f>AVERAGE(K6:K9)</f>
        <v>345</v>
      </c>
      <c r="L10" s="1">
        <f>AVERAGE(L6:L9)</f>
        <v>17.375</v>
      </c>
      <c r="N10" s="1">
        <v>5</v>
      </c>
      <c r="O10" s="1">
        <v>372</v>
      </c>
      <c r="P10" s="1">
        <v>18</v>
      </c>
    </row>
    <row r="11" spans="1:16" x14ac:dyDescent="0.3">
      <c r="J11" s="1" t="s">
        <v>143</v>
      </c>
      <c r="K11" s="1">
        <f>_xlfn.STDEV.S(K6:K9)</f>
        <v>60.083275543199207</v>
      </c>
      <c r="L11" s="1">
        <f>_xlfn.STDEV.S(L6:L9)</f>
        <v>1.4361406616345072</v>
      </c>
      <c r="N11" s="1" t="s">
        <v>142</v>
      </c>
      <c r="O11" s="1">
        <f>AVERAGE(O6:O10)</f>
        <v>364.6</v>
      </c>
      <c r="P11" s="1">
        <f>AVERAGE(P6:P10)</f>
        <v>16.7</v>
      </c>
    </row>
    <row r="12" spans="1:16" x14ac:dyDescent="0.3">
      <c r="N12" s="1" t="s">
        <v>143</v>
      </c>
      <c r="O12" s="1">
        <f>_xlfn.STDEV.S(O6:O10)</f>
        <v>106.59643521244033</v>
      </c>
      <c r="P12" s="1">
        <f>_xlfn.STDEV.S(P6:P10)</f>
        <v>2.6362852652928113</v>
      </c>
    </row>
  </sheetData>
  <mergeCells count="1"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A91C-D0C1-40C8-A49B-5DC62ECD94FF}">
  <dimension ref="A1:P48"/>
  <sheetViews>
    <sheetView topLeftCell="A19" zoomScale="94" zoomScaleNormal="115" workbookViewId="0">
      <selection activeCell="I45" sqref="I45"/>
    </sheetView>
  </sheetViews>
  <sheetFormatPr defaultRowHeight="14.4" x14ac:dyDescent="0.3"/>
  <cols>
    <col min="2" max="2" width="15.88671875" customWidth="1"/>
    <col min="3" max="3" width="16.44140625" customWidth="1"/>
    <col min="4" max="4" width="17.77734375" customWidth="1"/>
    <col min="6" max="6" width="13.5546875" customWidth="1"/>
    <col min="7" max="7" width="16.44140625" customWidth="1"/>
    <col min="8" max="8" width="12.77734375" customWidth="1"/>
    <col min="9" max="9" width="13.88671875" customWidth="1"/>
    <col min="10" max="10" width="19.109375" customWidth="1"/>
    <col min="11" max="11" width="13.5546875" customWidth="1"/>
    <col min="12" max="12" width="15.88671875" customWidth="1"/>
    <col min="13" max="13" width="14.21875" customWidth="1"/>
    <col min="14" max="14" width="15.44140625" customWidth="1"/>
    <col min="15" max="15" width="19.109375" customWidth="1"/>
    <col min="16" max="16" width="16.44140625" customWidth="1"/>
  </cols>
  <sheetData>
    <row r="1" spans="1:9" x14ac:dyDescent="0.3">
      <c r="A1" t="s">
        <v>93</v>
      </c>
    </row>
    <row r="2" spans="1:9" x14ac:dyDescent="0.3">
      <c r="B2" t="s">
        <v>46</v>
      </c>
      <c r="G2" t="s">
        <v>89</v>
      </c>
    </row>
    <row r="3" spans="1:9" x14ac:dyDescent="0.3">
      <c r="B3" s="1" t="s">
        <v>47</v>
      </c>
      <c r="C3" s="3" t="s">
        <v>2</v>
      </c>
      <c r="D3" s="3" t="s">
        <v>0</v>
      </c>
      <c r="G3" s="1" t="s">
        <v>47</v>
      </c>
      <c r="H3" s="3" t="s">
        <v>2</v>
      </c>
      <c r="I3" s="3" t="s">
        <v>0</v>
      </c>
    </row>
    <row r="4" spans="1:9" x14ac:dyDescent="0.3">
      <c r="B4" s="1">
        <v>1</v>
      </c>
      <c r="C4" s="1">
        <v>369</v>
      </c>
      <c r="D4" s="1">
        <v>18.5</v>
      </c>
      <c r="G4" s="1">
        <v>1</v>
      </c>
      <c r="H4" s="1">
        <v>320</v>
      </c>
      <c r="I4" s="1">
        <v>18</v>
      </c>
    </row>
    <row r="5" spans="1:9" x14ac:dyDescent="0.3">
      <c r="B5" s="1">
        <v>2</v>
      </c>
      <c r="C5" s="1">
        <v>357</v>
      </c>
      <c r="D5" s="1">
        <v>17</v>
      </c>
      <c r="G5" s="1">
        <v>2</v>
      </c>
      <c r="H5" s="1">
        <v>215</v>
      </c>
      <c r="I5" s="1">
        <v>15.5</v>
      </c>
    </row>
    <row r="6" spans="1:9" x14ac:dyDescent="0.3">
      <c r="B6" s="1">
        <v>3</v>
      </c>
      <c r="C6" s="1">
        <v>346</v>
      </c>
      <c r="D6" s="1">
        <v>17.5</v>
      </c>
      <c r="G6" s="1">
        <v>3</v>
      </c>
      <c r="H6" s="1">
        <v>140</v>
      </c>
      <c r="I6" s="1">
        <v>12</v>
      </c>
    </row>
    <row r="7" spans="1:9" x14ac:dyDescent="0.3">
      <c r="B7" s="1">
        <v>4</v>
      </c>
      <c r="C7" s="1">
        <v>182</v>
      </c>
      <c r="D7" s="1">
        <v>12.5</v>
      </c>
      <c r="G7" s="1">
        <v>4</v>
      </c>
      <c r="H7" s="1">
        <v>170</v>
      </c>
      <c r="I7" s="1">
        <v>10</v>
      </c>
    </row>
    <row r="8" spans="1:9" x14ac:dyDescent="0.3">
      <c r="B8" s="1">
        <v>5</v>
      </c>
      <c r="C8" s="1">
        <v>408</v>
      </c>
      <c r="D8" s="1">
        <v>18</v>
      </c>
      <c r="G8" s="1">
        <v>5</v>
      </c>
      <c r="H8" s="1">
        <v>285</v>
      </c>
      <c r="I8" s="1">
        <v>16.5</v>
      </c>
    </row>
    <row r="9" spans="1:9" x14ac:dyDescent="0.3">
      <c r="B9" s="1">
        <v>6</v>
      </c>
      <c r="C9" s="1">
        <v>396</v>
      </c>
      <c r="D9" s="1">
        <v>17.5</v>
      </c>
      <c r="G9" s="1">
        <v>6</v>
      </c>
      <c r="H9" s="1">
        <v>125</v>
      </c>
      <c r="I9" s="1">
        <v>13</v>
      </c>
    </row>
    <row r="10" spans="1:9" x14ac:dyDescent="0.3">
      <c r="B10" s="1">
        <v>7</v>
      </c>
      <c r="C10" s="1">
        <v>287</v>
      </c>
      <c r="D10" s="1">
        <v>18</v>
      </c>
      <c r="G10" s="1">
        <v>7</v>
      </c>
      <c r="H10" s="1">
        <v>251</v>
      </c>
      <c r="I10" s="1">
        <v>16.5</v>
      </c>
    </row>
    <row r="11" spans="1:9" x14ac:dyDescent="0.3">
      <c r="B11" s="1">
        <v>8</v>
      </c>
      <c r="C11" s="1">
        <v>381</v>
      </c>
      <c r="D11" s="1">
        <v>16.5</v>
      </c>
      <c r="G11" s="1">
        <v>8</v>
      </c>
      <c r="H11" s="4">
        <v>165</v>
      </c>
      <c r="I11" s="1">
        <v>14</v>
      </c>
    </row>
    <row r="12" spans="1:9" x14ac:dyDescent="0.3">
      <c r="B12" s="1">
        <v>9</v>
      </c>
      <c r="C12" s="1">
        <v>277</v>
      </c>
      <c r="D12" s="1">
        <v>16</v>
      </c>
      <c r="G12" s="1">
        <v>9</v>
      </c>
      <c r="H12" s="1">
        <v>368</v>
      </c>
      <c r="I12" s="1">
        <v>17.5</v>
      </c>
    </row>
    <row r="13" spans="1:9" x14ac:dyDescent="0.3">
      <c r="B13" s="1" t="s">
        <v>142</v>
      </c>
      <c r="C13" s="1">
        <f>AVERAGE(C4:C12)</f>
        <v>333.66666666666669</v>
      </c>
      <c r="D13" s="1">
        <f>AVERAGE(D4:D12)</f>
        <v>16.833333333333332</v>
      </c>
      <c r="G13" s="1" t="s">
        <v>142</v>
      </c>
      <c r="H13" s="1">
        <f>AVERAGE(H4:H12)</f>
        <v>226.55555555555554</v>
      </c>
      <c r="I13" s="1">
        <f>AVERAGE(I4:I12)</f>
        <v>14.777777777777779</v>
      </c>
    </row>
    <row r="14" spans="1:9" x14ac:dyDescent="0.3">
      <c r="B14" s="1" t="s">
        <v>144</v>
      </c>
      <c r="C14" s="1">
        <f>_xlfn.STDEV.S(C4:C12)</f>
        <v>72.44653200809546</v>
      </c>
      <c r="D14" s="1">
        <f>_xlfn.STDEV.S(D4:D12)</f>
        <v>1.8027756377319946</v>
      </c>
      <c r="G14" s="1" t="s">
        <v>143</v>
      </c>
      <c r="H14" s="1">
        <f>_xlfn.STDEV.S(H4:H12)</f>
        <v>84.910410302728963</v>
      </c>
      <c r="I14" s="1">
        <f>_xlfn.STDEV.S(I4:I12)</f>
        <v>2.7054471801246569</v>
      </c>
    </row>
    <row r="24" spans="2:7" x14ac:dyDescent="0.3">
      <c r="B24" t="s">
        <v>7</v>
      </c>
    </row>
    <row r="25" spans="2:7" x14ac:dyDescent="0.3">
      <c r="B25" s="3" t="s">
        <v>43</v>
      </c>
      <c r="C25" s="1" t="s">
        <v>41</v>
      </c>
      <c r="D25" s="3" t="s">
        <v>44</v>
      </c>
      <c r="E25" s="1" t="s">
        <v>45</v>
      </c>
      <c r="F25" s="3" t="s">
        <v>43</v>
      </c>
      <c r="G25" s="1" t="s">
        <v>41</v>
      </c>
    </row>
    <row r="26" spans="2:7" x14ac:dyDescent="0.3">
      <c r="B26" s="16" t="s">
        <v>32</v>
      </c>
      <c r="C26" s="16">
        <v>20</v>
      </c>
      <c r="D26" s="12" t="s">
        <v>9</v>
      </c>
      <c r="E26" s="12">
        <v>14</v>
      </c>
      <c r="F26" s="13" t="s">
        <v>18</v>
      </c>
      <c r="G26" s="13">
        <v>29</v>
      </c>
    </row>
    <row r="27" spans="2:7" x14ac:dyDescent="0.3">
      <c r="B27" s="16" t="s">
        <v>36</v>
      </c>
      <c r="C27" s="16">
        <v>22</v>
      </c>
      <c r="D27" s="12" t="s">
        <v>11</v>
      </c>
      <c r="E27" s="12">
        <v>34</v>
      </c>
      <c r="F27" s="13" t="s">
        <v>22</v>
      </c>
      <c r="G27" s="13">
        <v>12</v>
      </c>
    </row>
    <row r="28" spans="2:7" x14ac:dyDescent="0.3">
      <c r="B28" s="16" t="s">
        <v>38</v>
      </c>
      <c r="C28" s="16">
        <v>30</v>
      </c>
      <c r="D28" s="12" t="s">
        <v>16</v>
      </c>
      <c r="E28" s="12">
        <v>18</v>
      </c>
      <c r="F28" s="13" t="s">
        <v>26</v>
      </c>
      <c r="G28" s="13">
        <v>0</v>
      </c>
    </row>
    <row r="29" spans="2:7" x14ac:dyDescent="0.3">
      <c r="B29" s="16"/>
      <c r="C29" s="16"/>
      <c r="D29" s="12"/>
      <c r="E29" s="12"/>
      <c r="F29" s="13"/>
      <c r="G29" s="13"/>
    </row>
    <row r="30" spans="2:7" x14ac:dyDescent="0.3">
      <c r="B30" s="16"/>
      <c r="C30" s="16"/>
      <c r="D30" s="12"/>
      <c r="E30" s="12"/>
      <c r="F30" s="13"/>
      <c r="G30" s="13"/>
    </row>
    <row r="31" spans="2:7" x14ac:dyDescent="0.3">
      <c r="B31" s="18"/>
      <c r="C31" s="18"/>
      <c r="D31" s="18"/>
      <c r="E31" s="18"/>
      <c r="F31" s="18"/>
      <c r="G31" s="18"/>
    </row>
    <row r="32" spans="2:7" x14ac:dyDescent="0.3">
      <c r="B32" s="18"/>
      <c r="C32" s="18"/>
      <c r="D32" s="18"/>
      <c r="E32" s="18"/>
      <c r="F32" s="18"/>
      <c r="G32" s="18"/>
    </row>
    <row r="33" spans="2:16" x14ac:dyDescent="0.3">
      <c r="B33" s="18" t="s">
        <v>28</v>
      </c>
      <c r="C33" s="18"/>
      <c r="D33" s="18"/>
      <c r="E33" s="18"/>
      <c r="F33" s="18"/>
      <c r="G33" s="18"/>
      <c r="J33" t="s">
        <v>50</v>
      </c>
    </row>
    <row r="34" spans="2:16" x14ac:dyDescent="0.3">
      <c r="B34" s="16" t="s">
        <v>43</v>
      </c>
      <c r="C34" s="16" t="s">
        <v>41</v>
      </c>
      <c r="D34" s="12" t="s">
        <v>44</v>
      </c>
      <c r="E34" s="12" t="s">
        <v>45</v>
      </c>
      <c r="F34" s="13" t="s">
        <v>43</v>
      </c>
      <c r="G34" s="13" t="s">
        <v>41</v>
      </c>
      <c r="J34" s="3" t="s">
        <v>51</v>
      </c>
      <c r="K34" s="3" t="s">
        <v>52</v>
      </c>
      <c r="L34" s="3" t="s">
        <v>53</v>
      </c>
      <c r="M34" s="3" t="s">
        <v>54</v>
      </c>
      <c r="N34" s="3" t="s">
        <v>55</v>
      </c>
      <c r="O34" s="3" t="s">
        <v>79</v>
      </c>
      <c r="P34" s="3" t="s">
        <v>56</v>
      </c>
    </row>
    <row r="35" spans="2:16" x14ac:dyDescent="0.3">
      <c r="B35" s="16" t="s">
        <v>30</v>
      </c>
      <c r="C35" s="16">
        <v>10</v>
      </c>
      <c r="D35" s="12" t="s">
        <v>10</v>
      </c>
      <c r="E35" s="12">
        <v>44</v>
      </c>
      <c r="F35" s="13" t="s">
        <v>19</v>
      </c>
      <c r="G35" s="13">
        <v>42</v>
      </c>
      <c r="J35" s="1" t="s">
        <v>59</v>
      </c>
      <c r="K35" s="1">
        <v>8.1199999999999992</v>
      </c>
      <c r="L35" s="1">
        <v>16.489999999999998</v>
      </c>
      <c r="M35" s="1">
        <v>20.76</v>
      </c>
      <c r="N35" s="1">
        <v>28.3</v>
      </c>
      <c r="O35" s="1">
        <v>5.6959999999999997</v>
      </c>
      <c r="P35" s="1">
        <v>23.9</v>
      </c>
    </row>
    <row r="36" spans="2:16" x14ac:dyDescent="0.3">
      <c r="B36" s="16" t="s">
        <v>36</v>
      </c>
      <c r="C36" s="16">
        <v>14</v>
      </c>
      <c r="D36" s="12" t="s">
        <v>15</v>
      </c>
      <c r="E36" s="12">
        <v>39</v>
      </c>
      <c r="F36" s="13" t="s">
        <v>24</v>
      </c>
      <c r="G36" s="13">
        <v>20</v>
      </c>
      <c r="J36" s="1" t="s">
        <v>60</v>
      </c>
      <c r="K36" s="1">
        <v>8.11</v>
      </c>
      <c r="L36" s="1">
        <v>16.7</v>
      </c>
      <c r="M36" s="1">
        <v>20.98</v>
      </c>
      <c r="N36" s="1">
        <v>28.2</v>
      </c>
      <c r="O36" s="1">
        <v>8.4689999999999994</v>
      </c>
      <c r="P36" s="1">
        <v>24.5</v>
      </c>
    </row>
    <row r="37" spans="2:16" x14ac:dyDescent="0.3">
      <c r="B37" s="16" t="s">
        <v>39</v>
      </c>
      <c r="C37" s="16">
        <v>19</v>
      </c>
      <c r="D37" s="12" t="s">
        <v>17</v>
      </c>
      <c r="E37" s="12">
        <v>35</v>
      </c>
      <c r="F37" s="13" t="s">
        <v>26</v>
      </c>
      <c r="G37" s="13">
        <v>34</v>
      </c>
      <c r="J37" s="1" t="s">
        <v>61</v>
      </c>
      <c r="K37" s="1">
        <v>8.14</v>
      </c>
      <c r="L37" s="1">
        <v>16.79</v>
      </c>
      <c r="M37" s="1">
        <v>21.07</v>
      </c>
      <c r="N37" s="1">
        <v>28.2</v>
      </c>
      <c r="O37" s="1">
        <v>7.4980000000000002</v>
      </c>
      <c r="P37" s="1">
        <v>24.6</v>
      </c>
    </row>
    <row r="38" spans="2:16" x14ac:dyDescent="0.3">
      <c r="B38" s="16"/>
      <c r="C38" s="16"/>
      <c r="D38" s="12"/>
      <c r="E38" s="12"/>
      <c r="F38" s="13"/>
      <c r="G38" s="13"/>
      <c r="J38" s="1" t="s">
        <v>58</v>
      </c>
      <c r="K38" s="1">
        <v>8.17</v>
      </c>
      <c r="L38" s="1">
        <v>16.88</v>
      </c>
      <c r="M38" s="1">
        <v>21.2</v>
      </c>
      <c r="N38" s="1">
        <v>28.1</v>
      </c>
      <c r="O38" s="1">
        <v>7.08</v>
      </c>
      <c r="P38" s="1">
        <v>24.8</v>
      </c>
    </row>
    <row r="39" spans="2:16" x14ac:dyDescent="0.3">
      <c r="B39" s="16"/>
      <c r="C39" s="16"/>
      <c r="D39" s="12"/>
      <c r="E39" s="12"/>
      <c r="F39" s="13"/>
      <c r="G39" s="13"/>
      <c r="J39" s="1" t="s">
        <v>62</v>
      </c>
      <c r="K39" s="1">
        <v>8.2100000000000009</v>
      </c>
      <c r="L39" s="1">
        <v>16.98</v>
      </c>
      <c r="M39" s="1">
        <v>21.33</v>
      </c>
      <c r="N39" s="1">
        <v>28.1</v>
      </c>
      <c r="O39" s="1">
        <v>7.36</v>
      </c>
      <c r="P39" s="1">
        <v>25</v>
      </c>
    </row>
    <row r="40" spans="2:16" x14ac:dyDescent="0.3">
      <c r="B40" s="18"/>
      <c r="C40" s="18"/>
      <c r="D40" s="18"/>
      <c r="E40" s="18"/>
      <c r="F40" s="18"/>
      <c r="G40" s="18"/>
      <c r="J40" s="1" t="s">
        <v>61</v>
      </c>
      <c r="K40" s="1">
        <v>8.3000000000000007</v>
      </c>
      <c r="L40" s="1">
        <v>17.12</v>
      </c>
      <c r="M40" s="1">
        <v>21.5</v>
      </c>
      <c r="N40" s="1">
        <v>28.1</v>
      </c>
      <c r="O40" s="1">
        <v>8.6080000000000005</v>
      </c>
      <c r="P40" s="1">
        <v>25.2</v>
      </c>
    </row>
    <row r="41" spans="2:16" x14ac:dyDescent="0.3">
      <c r="B41" s="18"/>
      <c r="C41" s="18"/>
      <c r="D41" s="18"/>
      <c r="E41" s="18"/>
      <c r="F41" s="18"/>
      <c r="G41" s="18"/>
    </row>
    <row r="42" spans="2:16" x14ac:dyDescent="0.3">
      <c r="B42" s="18" t="s">
        <v>29</v>
      </c>
      <c r="C42" s="18"/>
      <c r="D42" s="18"/>
      <c r="E42" s="18"/>
      <c r="F42" s="18"/>
      <c r="G42" s="18"/>
    </row>
    <row r="43" spans="2:16" x14ac:dyDescent="0.3">
      <c r="B43" s="16" t="s">
        <v>43</v>
      </c>
      <c r="C43" s="16" t="s">
        <v>41</v>
      </c>
      <c r="D43" s="12" t="s">
        <v>44</v>
      </c>
      <c r="E43" s="12" t="s">
        <v>45</v>
      </c>
      <c r="F43" s="13" t="s">
        <v>43</v>
      </c>
      <c r="G43" s="13" t="s">
        <v>41</v>
      </c>
    </row>
    <row r="44" spans="2:16" x14ac:dyDescent="0.3">
      <c r="B44" s="16" t="s">
        <v>34</v>
      </c>
      <c r="C44" s="16">
        <v>24</v>
      </c>
      <c r="D44" s="12" t="s">
        <v>8</v>
      </c>
      <c r="E44" s="12">
        <v>8</v>
      </c>
      <c r="F44" s="13" t="s">
        <v>18</v>
      </c>
      <c r="G44" s="13">
        <v>29</v>
      </c>
    </row>
    <row r="45" spans="2:16" x14ac:dyDescent="0.3">
      <c r="B45" s="16" t="s">
        <v>38</v>
      </c>
      <c r="C45" s="16">
        <v>19</v>
      </c>
      <c r="D45" s="12" t="s">
        <v>13</v>
      </c>
      <c r="E45" s="12">
        <v>36</v>
      </c>
      <c r="F45" s="13" t="s">
        <v>22</v>
      </c>
      <c r="G45" s="13">
        <v>0</v>
      </c>
    </row>
    <row r="46" spans="2:16" x14ac:dyDescent="0.3">
      <c r="B46" s="16" t="s">
        <v>39</v>
      </c>
      <c r="C46" s="16">
        <v>32</v>
      </c>
      <c r="D46" s="12" t="s">
        <v>17</v>
      </c>
      <c r="E46" s="12">
        <v>7</v>
      </c>
      <c r="F46" s="13" t="s">
        <v>27</v>
      </c>
      <c r="G46" s="13">
        <v>17</v>
      </c>
    </row>
    <row r="47" spans="2:16" x14ac:dyDescent="0.3">
      <c r="B47" s="16"/>
      <c r="C47" s="16"/>
      <c r="D47" s="12"/>
      <c r="E47" s="12"/>
      <c r="F47" s="13"/>
      <c r="G47" s="13"/>
    </row>
    <row r="48" spans="2:16" x14ac:dyDescent="0.3">
      <c r="B48" s="16"/>
      <c r="C48" s="16"/>
      <c r="D48" s="12"/>
      <c r="E48" s="12"/>
      <c r="F48" s="13"/>
      <c r="G48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93DF-33CC-4807-BA10-E309B21DD3ED}">
  <dimension ref="B1:M19"/>
  <sheetViews>
    <sheetView zoomScale="72" workbookViewId="0">
      <selection activeCell="L30" sqref="L30"/>
    </sheetView>
  </sheetViews>
  <sheetFormatPr defaultRowHeight="14.4" x14ac:dyDescent="0.3"/>
  <cols>
    <col min="3" max="3" width="11.21875" customWidth="1"/>
    <col min="4" max="4" width="13.5546875" customWidth="1"/>
    <col min="5" max="5" width="15.21875" customWidth="1"/>
    <col min="8" max="8" width="10.77734375" customWidth="1"/>
    <col min="9" max="9" width="12.6640625" customWidth="1"/>
    <col min="10" max="10" width="11.77734375" customWidth="1"/>
  </cols>
  <sheetData>
    <row r="1" spans="2:10" x14ac:dyDescent="0.3">
      <c r="B1" t="s">
        <v>94</v>
      </c>
    </row>
    <row r="3" spans="2:10" x14ac:dyDescent="0.3">
      <c r="C3" t="s">
        <v>48</v>
      </c>
      <c r="H3" t="s">
        <v>75</v>
      </c>
    </row>
    <row r="4" spans="2:10" x14ac:dyDescent="0.3">
      <c r="C4" s="1" t="s">
        <v>47</v>
      </c>
      <c r="D4" s="3" t="s">
        <v>2</v>
      </c>
      <c r="E4" s="3" t="s">
        <v>0</v>
      </c>
      <c r="H4" s="1" t="s">
        <v>47</v>
      </c>
      <c r="I4" s="3" t="s">
        <v>2</v>
      </c>
      <c r="J4" s="3" t="s">
        <v>0</v>
      </c>
    </row>
    <row r="5" spans="2:10" x14ac:dyDescent="0.3">
      <c r="C5" s="1">
        <v>1</v>
      </c>
      <c r="D5" s="1">
        <v>354</v>
      </c>
      <c r="E5" s="1">
        <v>15.5</v>
      </c>
      <c r="H5" s="1">
        <v>1</v>
      </c>
      <c r="I5" s="1">
        <v>345</v>
      </c>
      <c r="J5" s="1">
        <v>16</v>
      </c>
    </row>
    <row r="6" spans="2:10" x14ac:dyDescent="0.3">
      <c r="C6" s="1">
        <v>2</v>
      </c>
      <c r="D6" s="1">
        <v>376</v>
      </c>
      <c r="E6" s="1">
        <v>16.5</v>
      </c>
      <c r="H6" s="1">
        <v>2</v>
      </c>
      <c r="I6" s="1">
        <v>355</v>
      </c>
      <c r="J6" s="1">
        <v>16.5</v>
      </c>
    </row>
    <row r="7" spans="2:10" x14ac:dyDescent="0.3">
      <c r="C7" s="1">
        <v>3</v>
      </c>
      <c r="D7" s="1">
        <v>344</v>
      </c>
      <c r="E7" s="1">
        <v>16</v>
      </c>
      <c r="H7" s="1">
        <v>3</v>
      </c>
      <c r="I7" s="1">
        <v>374</v>
      </c>
      <c r="J7" s="1">
        <v>15</v>
      </c>
    </row>
    <row r="8" spans="2:10" x14ac:dyDescent="0.3">
      <c r="C8" s="1">
        <v>4</v>
      </c>
      <c r="D8" s="1">
        <v>434</v>
      </c>
      <c r="E8" s="1">
        <v>18</v>
      </c>
      <c r="H8" s="1">
        <v>4</v>
      </c>
      <c r="I8" s="1">
        <v>435</v>
      </c>
      <c r="J8" s="1">
        <v>17.5</v>
      </c>
    </row>
    <row r="9" spans="2:10" x14ac:dyDescent="0.3">
      <c r="C9" s="1">
        <v>5</v>
      </c>
      <c r="D9" s="1">
        <v>574</v>
      </c>
      <c r="E9" s="1">
        <v>19.5</v>
      </c>
      <c r="H9" s="1">
        <v>5</v>
      </c>
      <c r="I9" s="1">
        <v>423</v>
      </c>
      <c r="J9" s="1">
        <v>18</v>
      </c>
    </row>
    <row r="10" spans="2:10" x14ac:dyDescent="0.3">
      <c r="C10" s="1">
        <v>6</v>
      </c>
      <c r="D10" s="1">
        <v>415</v>
      </c>
      <c r="E10" s="1">
        <v>18.5</v>
      </c>
      <c r="H10" s="1">
        <v>6</v>
      </c>
      <c r="I10" s="1">
        <v>365</v>
      </c>
      <c r="J10" s="1">
        <v>16.5</v>
      </c>
    </row>
    <row r="11" spans="2:10" x14ac:dyDescent="0.3">
      <c r="C11" s="1">
        <v>7</v>
      </c>
      <c r="D11" s="1">
        <v>362</v>
      </c>
      <c r="E11" s="1">
        <v>17</v>
      </c>
      <c r="H11" s="1">
        <v>7</v>
      </c>
      <c r="I11" s="1">
        <v>156</v>
      </c>
      <c r="J11" s="1">
        <v>13</v>
      </c>
    </row>
    <row r="12" spans="2:10" x14ac:dyDescent="0.3">
      <c r="C12" s="1" t="s">
        <v>142</v>
      </c>
      <c r="D12" s="1">
        <f>AVERAGE(D5:D11)</f>
        <v>408.42857142857144</v>
      </c>
      <c r="E12" s="1">
        <f>AVERAGE(E5:E11)</f>
        <v>17.285714285714285</v>
      </c>
      <c r="H12" s="1">
        <v>8</v>
      </c>
      <c r="I12" s="1">
        <v>357</v>
      </c>
      <c r="J12" s="1">
        <v>21</v>
      </c>
    </row>
    <row r="13" spans="2:10" x14ac:dyDescent="0.3">
      <c r="C13" s="1" t="s">
        <v>143</v>
      </c>
      <c r="D13" s="1">
        <f>_xlfn.STDEV.S(D5:D11)</f>
        <v>80.033028896110892</v>
      </c>
      <c r="E13" s="1">
        <f>_xlfn.STDEV.S(E5:E11)</f>
        <v>1.4392458342578487</v>
      </c>
      <c r="H13" s="1" t="s">
        <v>142</v>
      </c>
      <c r="I13" s="1">
        <f>AVERAGE(I5:I12)</f>
        <v>351.25</v>
      </c>
      <c r="J13" s="1">
        <f>AVERAGE(J5:J12)</f>
        <v>16.6875</v>
      </c>
    </row>
    <row r="14" spans="2:10" x14ac:dyDescent="0.3">
      <c r="H14" s="1" t="s">
        <v>143</v>
      </c>
      <c r="I14" s="1">
        <f>_xlfn.STDEV.S(I5:I12)</f>
        <v>85.421225197755831</v>
      </c>
      <c r="J14" s="1">
        <f>_xlfn.STDEV.S(J5:J12)</f>
        <v>2.3289712627804455</v>
      </c>
    </row>
    <row r="19" spans="13:13" x14ac:dyDescent="0.3">
      <c r="M19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BA1-FD71-4CC9-85C1-2C24A3F8F0F7}">
  <dimension ref="A2:K21"/>
  <sheetViews>
    <sheetView zoomScale="80" workbookViewId="0">
      <selection activeCell="G33" sqref="G33"/>
    </sheetView>
  </sheetViews>
  <sheetFormatPr defaultRowHeight="14.4" x14ac:dyDescent="0.3"/>
  <cols>
    <col min="2" max="2" width="17.6640625" customWidth="1"/>
    <col min="3" max="3" width="16.33203125" customWidth="1"/>
    <col min="4" max="4" width="17.6640625" customWidth="1"/>
    <col min="5" max="5" width="18.88671875" customWidth="1"/>
    <col min="6" max="6" width="17.5546875" customWidth="1"/>
    <col min="7" max="7" width="16.21875" customWidth="1"/>
    <col min="8" max="8" width="19.109375" customWidth="1"/>
    <col min="9" max="9" width="14.109375" customWidth="1"/>
    <col min="10" max="10" width="12" customWidth="1"/>
    <col min="11" max="11" width="13.5546875" customWidth="1"/>
  </cols>
  <sheetData>
    <row r="2" spans="1:11" x14ac:dyDescent="0.3">
      <c r="A2" t="s">
        <v>95</v>
      </c>
    </row>
    <row r="5" spans="1:11" x14ac:dyDescent="0.3">
      <c r="B5" s="3" t="s">
        <v>51</v>
      </c>
      <c r="C5" s="3" t="s">
        <v>86</v>
      </c>
      <c r="D5" s="3" t="s">
        <v>53</v>
      </c>
      <c r="E5" s="3" t="s">
        <v>87</v>
      </c>
      <c r="F5" s="3" t="s">
        <v>55</v>
      </c>
      <c r="G5" s="3" t="s">
        <v>88</v>
      </c>
      <c r="H5" s="3" t="s">
        <v>56</v>
      </c>
    </row>
    <row r="6" spans="1:11" x14ac:dyDescent="0.3">
      <c r="B6" s="1" t="s">
        <v>67</v>
      </c>
      <c r="C6" s="1">
        <v>8.18</v>
      </c>
      <c r="D6" s="1">
        <v>15.8</v>
      </c>
      <c r="E6" s="1">
        <v>19.690000000000001</v>
      </c>
      <c r="F6" s="1">
        <v>28</v>
      </c>
      <c r="G6" s="1">
        <v>7.36</v>
      </c>
      <c r="H6" s="1">
        <v>23.2</v>
      </c>
    </row>
    <row r="7" spans="1:11" x14ac:dyDescent="0.3">
      <c r="B7" s="1" t="s">
        <v>60</v>
      </c>
      <c r="C7" s="1">
        <v>8.24</v>
      </c>
      <c r="D7" s="1">
        <v>21.2</v>
      </c>
      <c r="E7" s="1">
        <v>27.23</v>
      </c>
      <c r="F7" s="1">
        <v>28.2</v>
      </c>
      <c r="G7" s="1">
        <v>5.69</v>
      </c>
      <c r="H7" s="1">
        <v>31.2</v>
      </c>
    </row>
    <row r="8" spans="1:11" x14ac:dyDescent="0.3">
      <c r="B8" s="1" t="s">
        <v>61</v>
      </c>
      <c r="C8" s="1">
        <v>8.23</v>
      </c>
      <c r="D8" s="1">
        <v>17.54</v>
      </c>
      <c r="E8" s="1">
        <v>22.07</v>
      </c>
      <c r="F8" s="1">
        <v>28.1</v>
      </c>
      <c r="G8" s="1">
        <v>6.1120000000000001</v>
      </c>
      <c r="H8" s="1">
        <v>25.8</v>
      </c>
    </row>
    <row r="9" spans="1:11" x14ac:dyDescent="0.3">
      <c r="B9" s="1" t="s">
        <v>74</v>
      </c>
      <c r="C9" s="1">
        <v>8.24</v>
      </c>
      <c r="D9" s="1">
        <v>17.7</v>
      </c>
      <c r="E9" s="1">
        <v>22.31</v>
      </c>
      <c r="F9" s="1">
        <v>28.2</v>
      </c>
      <c r="G9" s="1">
        <v>4.4800000000000004</v>
      </c>
      <c r="H9" s="1">
        <v>26.1</v>
      </c>
    </row>
    <row r="10" spans="1:11" x14ac:dyDescent="0.3">
      <c r="B10" s="1" t="s">
        <v>60</v>
      </c>
      <c r="C10" s="1">
        <v>8.24</v>
      </c>
      <c r="D10" s="1">
        <v>21.3</v>
      </c>
      <c r="E10" s="1">
        <v>27.36</v>
      </c>
      <c r="F10" s="1">
        <v>28.1</v>
      </c>
      <c r="G10" s="1">
        <v>6.5229999999999997</v>
      </c>
      <c r="H10" s="1">
        <v>31.3</v>
      </c>
    </row>
    <row r="11" spans="1:11" x14ac:dyDescent="0.3">
      <c r="B11" s="1" t="s">
        <v>61</v>
      </c>
      <c r="C11" s="1">
        <v>8.23</v>
      </c>
      <c r="D11" s="1">
        <v>17.78</v>
      </c>
      <c r="E11" s="1">
        <v>22.4</v>
      </c>
      <c r="F11" s="1">
        <v>28</v>
      </c>
      <c r="G11" s="1">
        <v>6.1130000000000004</v>
      </c>
      <c r="H11" s="1">
        <v>26</v>
      </c>
    </row>
    <row r="15" spans="1:11" x14ac:dyDescent="0.3">
      <c r="E15" s="3" t="s">
        <v>64</v>
      </c>
      <c r="F15" s="3" t="s">
        <v>80</v>
      </c>
      <c r="G15" s="3" t="s">
        <v>81</v>
      </c>
      <c r="H15" s="3" t="s">
        <v>82</v>
      </c>
      <c r="I15" s="3" t="s">
        <v>83</v>
      </c>
      <c r="J15" s="3" t="s">
        <v>84</v>
      </c>
      <c r="K15" s="3" t="s">
        <v>85</v>
      </c>
    </row>
    <row r="16" spans="1:11" x14ac:dyDescent="0.3">
      <c r="E16" s="1" t="s">
        <v>70</v>
      </c>
      <c r="F16" s="1">
        <v>48</v>
      </c>
      <c r="G16" s="1">
        <v>72</v>
      </c>
      <c r="H16" s="1">
        <v>15</v>
      </c>
      <c r="I16" s="1">
        <v>47</v>
      </c>
      <c r="J16" s="1">
        <v>21</v>
      </c>
      <c r="K16" s="1">
        <v>63</v>
      </c>
    </row>
    <row r="17" spans="5:11" x14ac:dyDescent="0.3">
      <c r="E17" s="1" t="s">
        <v>71</v>
      </c>
      <c r="F17" s="1">
        <v>50</v>
      </c>
      <c r="G17" s="1">
        <v>76</v>
      </c>
      <c r="H17" s="1">
        <v>15</v>
      </c>
      <c r="I17" s="1">
        <v>155</v>
      </c>
      <c r="J17" s="1">
        <v>68</v>
      </c>
      <c r="K17" s="1">
        <v>207</v>
      </c>
    </row>
    <row r="18" spans="5:11" x14ac:dyDescent="0.3">
      <c r="E18" s="1" t="s">
        <v>72</v>
      </c>
      <c r="F18" s="1">
        <v>51</v>
      </c>
      <c r="G18" s="1">
        <v>74</v>
      </c>
      <c r="H18" s="1">
        <v>15</v>
      </c>
      <c r="I18" s="1">
        <v>84</v>
      </c>
      <c r="J18" s="1">
        <v>37</v>
      </c>
      <c r="K18" s="1">
        <v>112</v>
      </c>
    </row>
    <row r="19" spans="5:11" x14ac:dyDescent="0.3">
      <c r="E19" s="1" t="s">
        <v>73</v>
      </c>
      <c r="F19" s="1">
        <v>49</v>
      </c>
      <c r="G19" s="1">
        <v>73</v>
      </c>
      <c r="H19" s="1">
        <v>15</v>
      </c>
      <c r="I19" s="1">
        <v>102</v>
      </c>
      <c r="J19" s="1">
        <v>44</v>
      </c>
      <c r="K19" s="1">
        <v>136</v>
      </c>
    </row>
    <row r="20" spans="5:11" x14ac:dyDescent="0.3">
      <c r="E20" s="1" t="s">
        <v>71</v>
      </c>
      <c r="F20" s="1">
        <v>52</v>
      </c>
      <c r="G20" s="1">
        <v>78</v>
      </c>
      <c r="H20" s="1">
        <v>16</v>
      </c>
      <c r="I20" s="1">
        <v>22</v>
      </c>
      <c r="J20" s="1">
        <v>9</v>
      </c>
      <c r="K20" s="1">
        <v>29</v>
      </c>
    </row>
    <row r="21" spans="5:11" x14ac:dyDescent="0.3">
      <c r="E21" s="1" t="s">
        <v>72</v>
      </c>
      <c r="F21" s="1">
        <v>46</v>
      </c>
      <c r="G21" s="1">
        <v>69</v>
      </c>
      <c r="H21" s="1">
        <v>14</v>
      </c>
      <c r="I21" s="1">
        <v>35</v>
      </c>
      <c r="J21" s="1">
        <v>15</v>
      </c>
      <c r="K21" s="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FC67-8782-414A-A0B7-F6E7173B16C7}">
  <dimension ref="A1:H53"/>
  <sheetViews>
    <sheetView topLeftCell="A27" zoomScale="101" workbookViewId="0">
      <selection activeCell="I20" sqref="I20"/>
    </sheetView>
  </sheetViews>
  <sheetFormatPr defaultRowHeight="14.4" x14ac:dyDescent="0.3"/>
  <cols>
    <col min="2" max="2" width="16.77734375" customWidth="1"/>
    <col min="3" max="3" width="17.109375" customWidth="1"/>
    <col min="4" max="4" width="15" customWidth="1"/>
    <col min="5" max="5" width="13.5546875" customWidth="1"/>
    <col min="6" max="6" width="14.44140625" customWidth="1"/>
    <col min="7" max="7" width="13.5546875" customWidth="1"/>
    <col min="8" max="8" width="15.33203125" customWidth="1"/>
    <col min="9" max="9" width="32.33203125" customWidth="1"/>
    <col min="10" max="10" width="12.88671875" customWidth="1"/>
    <col min="11" max="11" width="12.5546875" customWidth="1"/>
    <col min="13" max="13" width="12.21875" customWidth="1"/>
    <col min="14" max="14" width="11.33203125" customWidth="1"/>
    <col min="15" max="15" width="13.109375" customWidth="1"/>
  </cols>
  <sheetData>
    <row r="1" spans="1:8" x14ac:dyDescent="0.3">
      <c r="A1" t="s">
        <v>96</v>
      </c>
    </row>
    <row r="2" spans="1:8" x14ac:dyDescent="0.3">
      <c r="B2" s="3" t="s">
        <v>51</v>
      </c>
      <c r="C2" s="3" t="s">
        <v>86</v>
      </c>
      <c r="D2" s="3" t="s">
        <v>53</v>
      </c>
      <c r="E2" s="3" t="s">
        <v>87</v>
      </c>
      <c r="F2" s="3" t="s">
        <v>55</v>
      </c>
      <c r="G2" s="3" t="s">
        <v>88</v>
      </c>
      <c r="H2" s="3" t="s">
        <v>56</v>
      </c>
    </row>
    <row r="3" spans="1:8" x14ac:dyDescent="0.3">
      <c r="B3" s="1" t="s">
        <v>67</v>
      </c>
      <c r="C3" s="1">
        <v>8.08</v>
      </c>
      <c r="D3" s="1">
        <v>15.46</v>
      </c>
      <c r="E3" s="1">
        <v>19.27</v>
      </c>
      <c r="F3" s="1">
        <v>28</v>
      </c>
      <c r="G3" s="1">
        <v>6.1120000000000001</v>
      </c>
      <c r="H3" s="1">
        <v>22.7</v>
      </c>
    </row>
    <row r="4" spans="1:8" x14ac:dyDescent="0.3">
      <c r="B4" s="1" t="s">
        <v>60</v>
      </c>
      <c r="C4" s="1">
        <v>8.11</v>
      </c>
      <c r="D4" s="1">
        <v>16.309999999999999</v>
      </c>
      <c r="E4" s="1">
        <v>20.420000000000002</v>
      </c>
      <c r="F4" s="1">
        <v>28.1</v>
      </c>
      <c r="G4" s="1">
        <v>6.5279999999999996</v>
      </c>
      <c r="H4" s="1">
        <v>24</v>
      </c>
    </row>
    <row r="5" spans="1:8" x14ac:dyDescent="0.3">
      <c r="B5" s="1" t="s">
        <v>61</v>
      </c>
      <c r="C5" s="1">
        <v>8.14</v>
      </c>
      <c r="D5" s="1">
        <v>16.68</v>
      </c>
      <c r="E5" s="1">
        <v>20.92</v>
      </c>
      <c r="F5" s="1">
        <v>28</v>
      </c>
      <c r="G5" s="1">
        <v>8.6080000000000005</v>
      </c>
      <c r="H5" s="1">
        <v>24.5</v>
      </c>
    </row>
    <row r="6" spans="1:8" x14ac:dyDescent="0.3">
      <c r="B6" s="1" t="s">
        <v>74</v>
      </c>
      <c r="C6" s="1">
        <v>8.15</v>
      </c>
      <c r="D6" s="1">
        <v>16.72</v>
      </c>
      <c r="E6" s="1">
        <v>20.99</v>
      </c>
      <c r="F6" s="1">
        <v>27.9</v>
      </c>
      <c r="G6" s="1">
        <v>8.6080000000000005</v>
      </c>
      <c r="H6" s="1">
        <v>24.7</v>
      </c>
    </row>
    <row r="7" spans="1:8" x14ac:dyDescent="0.3">
      <c r="B7" s="1" t="s">
        <v>60</v>
      </c>
      <c r="C7" s="1">
        <v>8.14</v>
      </c>
      <c r="D7" s="1">
        <v>17.079999999999998</v>
      </c>
      <c r="E7" s="1">
        <v>21.49</v>
      </c>
      <c r="F7" s="1">
        <v>27.8</v>
      </c>
      <c r="G7" s="1">
        <v>8.1920000000000002</v>
      </c>
      <c r="H7" s="1">
        <v>25</v>
      </c>
    </row>
    <row r="8" spans="1:8" x14ac:dyDescent="0.3">
      <c r="B8" s="1" t="s">
        <v>61</v>
      </c>
      <c r="C8" s="1">
        <v>8.1199999999999992</v>
      </c>
      <c r="D8" s="1">
        <v>17.350000000000001</v>
      </c>
      <c r="E8" s="1">
        <v>21.83</v>
      </c>
      <c r="F8" s="1">
        <v>27.5</v>
      </c>
      <c r="G8" s="1">
        <v>5.6959999999999997</v>
      </c>
      <c r="H8" s="1">
        <v>25.5</v>
      </c>
    </row>
    <row r="13" spans="1:8" x14ac:dyDescent="0.3">
      <c r="B13" t="s">
        <v>7</v>
      </c>
    </row>
    <row r="14" spans="1:8" x14ac:dyDescent="0.3">
      <c r="B14" s="2" t="s">
        <v>4</v>
      </c>
      <c r="C14" s="1" t="s">
        <v>2</v>
      </c>
      <c r="D14" s="2" t="s">
        <v>5</v>
      </c>
      <c r="E14" s="1" t="s">
        <v>2</v>
      </c>
      <c r="F14" s="2" t="s">
        <v>6</v>
      </c>
      <c r="G14" s="1" t="s">
        <v>1</v>
      </c>
    </row>
    <row r="15" spans="1:8" x14ac:dyDescent="0.3">
      <c r="B15" s="16" t="s">
        <v>30</v>
      </c>
      <c r="C15" s="16">
        <v>30</v>
      </c>
      <c r="D15" s="12" t="s">
        <v>8</v>
      </c>
      <c r="E15" s="12">
        <v>20</v>
      </c>
      <c r="F15" s="13" t="s">
        <v>18</v>
      </c>
      <c r="G15" s="13">
        <v>32</v>
      </c>
    </row>
    <row r="16" spans="1:8" x14ac:dyDescent="0.3">
      <c r="B16" s="16" t="s">
        <v>31</v>
      </c>
      <c r="C16" s="16">
        <v>22</v>
      </c>
      <c r="D16" s="12" t="s">
        <v>9</v>
      </c>
      <c r="E16" s="12">
        <v>18</v>
      </c>
      <c r="F16" s="13" t="s">
        <v>19</v>
      </c>
      <c r="G16" s="13">
        <v>26</v>
      </c>
    </row>
    <row r="17" spans="2:7" x14ac:dyDescent="0.3">
      <c r="B17" s="16" t="s">
        <v>32</v>
      </c>
      <c r="C17" s="16">
        <v>20</v>
      </c>
      <c r="D17" s="12" t="s">
        <v>10</v>
      </c>
      <c r="E17" s="12">
        <v>34</v>
      </c>
      <c r="F17" s="13" t="s">
        <v>20</v>
      </c>
      <c r="G17" s="13">
        <v>29</v>
      </c>
    </row>
    <row r="18" spans="2:7" x14ac:dyDescent="0.3">
      <c r="B18" s="16" t="s">
        <v>33</v>
      </c>
      <c r="C18" s="16">
        <v>45</v>
      </c>
      <c r="D18" s="12" t="s">
        <v>11</v>
      </c>
      <c r="E18" s="12">
        <v>35</v>
      </c>
      <c r="F18" s="13" t="s">
        <v>21</v>
      </c>
      <c r="G18" s="13">
        <v>3</v>
      </c>
    </row>
    <row r="19" spans="2:7" x14ac:dyDescent="0.3">
      <c r="B19" s="16" t="s">
        <v>34</v>
      </c>
      <c r="C19" s="16">
        <v>16</v>
      </c>
      <c r="D19" s="12" t="s">
        <v>12</v>
      </c>
      <c r="E19" s="12">
        <v>17</v>
      </c>
      <c r="F19" s="13" t="s">
        <v>22</v>
      </c>
      <c r="G19" s="13">
        <v>12</v>
      </c>
    </row>
    <row r="20" spans="2:7" x14ac:dyDescent="0.3">
      <c r="B20" s="16" t="s">
        <v>35</v>
      </c>
      <c r="C20" s="16">
        <v>28</v>
      </c>
      <c r="D20" s="12" t="s">
        <v>13</v>
      </c>
      <c r="E20" s="12">
        <v>32</v>
      </c>
      <c r="F20" s="13" t="s">
        <v>23</v>
      </c>
      <c r="G20" s="13">
        <v>21</v>
      </c>
    </row>
    <row r="21" spans="2:7" x14ac:dyDescent="0.3">
      <c r="B21" s="16" t="s">
        <v>36</v>
      </c>
      <c r="C21" s="16">
        <v>23</v>
      </c>
      <c r="D21" s="12" t="s">
        <v>14</v>
      </c>
      <c r="E21" s="12">
        <v>28</v>
      </c>
      <c r="F21" s="13" t="s">
        <v>24</v>
      </c>
      <c r="G21" s="13">
        <v>24</v>
      </c>
    </row>
    <row r="22" spans="2:7" x14ac:dyDescent="0.3">
      <c r="B22" s="16" t="s">
        <v>37</v>
      </c>
      <c r="C22" s="16">
        <v>20</v>
      </c>
      <c r="D22" s="12" t="s">
        <v>15</v>
      </c>
      <c r="E22" s="12">
        <v>22</v>
      </c>
      <c r="F22" s="13" t="s">
        <v>25</v>
      </c>
      <c r="G22" s="13">
        <v>16</v>
      </c>
    </row>
    <row r="23" spans="2:7" x14ac:dyDescent="0.3">
      <c r="B23" s="16" t="s">
        <v>38</v>
      </c>
      <c r="C23" s="16">
        <v>33</v>
      </c>
      <c r="D23" s="12" t="s">
        <v>16</v>
      </c>
      <c r="E23" s="12">
        <v>22</v>
      </c>
      <c r="F23" s="13" t="s">
        <v>26</v>
      </c>
      <c r="G23" s="13">
        <v>0</v>
      </c>
    </row>
    <row r="24" spans="2:7" x14ac:dyDescent="0.3">
      <c r="B24" s="16" t="s">
        <v>39</v>
      </c>
      <c r="C24" s="16">
        <v>0</v>
      </c>
      <c r="D24" s="12" t="s">
        <v>17</v>
      </c>
      <c r="E24" s="12">
        <v>0</v>
      </c>
      <c r="F24" s="13" t="s">
        <v>27</v>
      </c>
      <c r="G24" s="13">
        <v>15</v>
      </c>
    </row>
    <row r="25" spans="2:7" x14ac:dyDescent="0.3">
      <c r="B25" s="16"/>
      <c r="C25" s="16"/>
      <c r="D25" s="12"/>
      <c r="E25" s="12"/>
      <c r="F25" s="13"/>
      <c r="G25" s="13"/>
    </row>
    <row r="26" spans="2:7" x14ac:dyDescent="0.3">
      <c r="B26" s="17"/>
      <c r="C26" s="17"/>
      <c r="D26" s="19"/>
      <c r="E26" s="19"/>
      <c r="F26" s="20"/>
      <c r="G26" s="20"/>
    </row>
    <row r="27" spans="2:7" x14ac:dyDescent="0.3">
      <c r="B27" s="17" t="s">
        <v>28</v>
      </c>
      <c r="C27" s="17"/>
      <c r="D27" s="19"/>
      <c r="E27" s="19"/>
      <c r="F27" s="20"/>
      <c r="G27" s="20"/>
    </row>
    <row r="28" spans="2:7" x14ac:dyDescent="0.3">
      <c r="B28" s="16" t="s">
        <v>4</v>
      </c>
      <c r="C28" s="16" t="s">
        <v>2</v>
      </c>
      <c r="D28" s="12" t="s">
        <v>5</v>
      </c>
      <c r="E28" s="12" t="s">
        <v>2</v>
      </c>
      <c r="F28" s="13" t="s">
        <v>6</v>
      </c>
      <c r="G28" s="13" t="s">
        <v>1</v>
      </c>
    </row>
    <row r="29" spans="2:7" x14ac:dyDescent="0.3">
      <c r="B29" s="16" t="s">
        <v>30</v>
      </c>
      <c r="C29" s="16">
        <v>10</v>
      </c>
      <c r="D29" s="12" t="s">
        <v>8</v>
      </c>
      <c r="E29" s="12">
        <v>29</v>
      </c>
      <c r="F29" s="13" t="s">
        <v>18</v>
      </c>
      <c r="G29" s="13">
        <v>31</v>
      </c>
    </row>
    <row r="30" spans="2:7" x14ac:dyDescent="0.3">
      <c r="B30" s="16" t="s">
        <v>31</v>
      </c>
      <c r="C30" s="16">
        <v>19</v>
      </c>
      <c r="D30" s="12" t="s">
        <v>9</v>
      </c>
      <c r="E30" s="12">
        <v>42</v>
      </c>
      <c r="F30" s="13" t="s">
        <v>19</v>
      </c>
      <c r="G30" s="13">
        <v>46</v>
      </c>
    </row>
    <row r="31" spans="2:7" x14ac:dyDescent="0.3">
      <c r="B31" s="16" t="s">
        <v>32</v>
      </c>
      <c r="C31" s="16">
        <v>15</v>
      </c>
      <c r="D31" s="12" t="s">
        <v>10</v>
      </c>
      <c r="E31" s="12">
        <v>46</v>
      </c>
      <c r="F31" s="13" t="s">
        <v>20</v>
      </c>
      <c r="G31" s="13">
        <v>21</v>
      </c>
    </row>
    <row r="32" spans="2:7" x14ac:dyDescent="0.3">
      <c r="B32" s="16" t="s">
        <v>33</v>
      </c>
      <c r="C32" s="16">
        <v>20</v>
      </c>
      <c r="D32" s="12" t="s">
        <v>11</v>
      </c>
      <c r="E32" s="12">
        <v>19</v>
      </c>
      <c r="F32" s="13" t="s">
        <v>21</v>
      </c>
      <c r="G32" s="13">
        <v>0</v>
      </c>
    </row>
    <row r="33" spans="2:7" x14ac:dyDescent="0.3">
      <c r="B33" s="16" t="s">
        <v>34</v>
      </c>
      <c r="C33" s="16">
        <v>18</v>
      </c>
      <c r="D33" s="12" t="s">
        <v>12</v>
      </c>
      <c r="E33" s="12">
        <v>21</v>
      </c>
      <c r="F33" s="13" t="s">
        <v>22</v>
      </c>
      <c r="G33" s="13">
        <v>42</v>
      </c>
    </row>
    <row r="34" spans="2:7" x14ac:dyDescent="0.3">
      <c r="B34" s="16" t="s">
        <v>35</v>
      </c>
      <c r="C34" s="16">
        <v>20</v>
      </c>
      <c r="D34" s="12" t="s">
        <v>13</v>
      </c>
      <c r="E34" s="12">
        <v>31</v>
      </c>
      <c r="F34" s="13" t="s">
        <v>23</v>
      </c>
      <c r="G34" s="13">
        <v>18</v>
      </c>
    </row>
    <row r="35" spans="2:7" x14ac:dyDescent="0.3">
      <c r="B35" s="16" t="s">
        <v>36</v>
      </c>
      <c r="C35" s="16">
        <v>16</v>
      </c>
      <c r="D35" s="12" t="s">
        <v>14</v>
      </c>
      <c r="E35" s="12">
        <v>31</v>
      </c>
      <c r="F35" s="13" t="s">
        <v>24</v>
      </c>
      <c r="G35" s="13">
        <v>23</v>
      </c>
    </row>
    <row r="36" spans="2:7" x14ac:dyDescent="0.3">
      <c r="B36" s="16" t="s">
        <v>37</v>
      </c>
      <c r="C36" s="16">
        <v>15</v>
      </c>
      <c r="D36" s="12" t="s">
        <v>15</v>
      </c>
      <c r="E36" s="12">
        <v>41</v>
      </c>
      <c r="F36" s="13" t="s">
        <v>25</v>
      </c>
      <c r="G36" s="13">
        <v>0</v>
      </c>
    </row>
    <row r="37" spans="2:7" x14ac:dyDescent="0.3">
      <c r="B37" s="16" t="s">
        <v>38</v>
      </c>
      <c r="C37" s="16">
        <v>0</v>
      </c>
      <c r="D37" s="12" t="s">
        <v>16</v>
      </c>
      <c r="E37" s="12">
        <v>24</v>
      </c>
      <c r="F37" s="13" t="s">
        <v>26</v>
      </c>
      <c r="G37" s="13">
        <v>35</v>
      </c>
    </row>
    <row r="38" spans="2:7" x14ac:dyDescent="0.3">
      <c r="B38" s="16" t="s">
        <v>39</v>
      </c>
      <c r="C38" s="16">
        <v>22</v>
      </c>
      <c r="D38" s="12" t="s">
        <v>17</v>
      </c>
      <c r="E38" s="12">
        <v>37</v>
      </c>
      <c r="F38" s="13" t="s">
        <v>27</v>
      </c>
      <c r="G38" s="13">
        <v>18</v>
      </c>
    </row>
    <row r="39" spans="2:7" x14ac:dyDescent="0.3">
      <c r="B39" s="16"/>
      <c r="C39" s="16"/>
      <c r="D39" s="12"/>
      <c r="E39" s="12"/>
      <c r="F39" s="13"/>
      <c r="G39" s="13"/>
    </row>
    <row r="40" spans="2:7" x14ac:dyDescent="0.3">
      <c r="B40" s="17"/>
      <c r="C40" s="17"/>
      <c r="D40" s="19"/>
      <c r="E40" s="19"/>
      <c r="F40" s="20"/>
      <c r="G40" s="20"/>
    </row>
    <row r="41" spans="2:7" x14ac:dyDescent="0.3">
      <c r="B41" s="17" t="s">
        <v>29</v>
      </c>
      <c r="C41" s="17"/>
      <c r="D41" s="19"/>
      <c r="E41" s="19"/>
      <c r="F41" s="20"/>
      <c r="G41" s="20"/>
    </row>
    <row r="42" spans="2:7" x14ac:dyDescent="0.3">
      <c r="B42" s="16" t="s">
        <v>4</v>
      </c>
      <c r="C42" s="16" t="s">
        <v>2</v>
      </c>
      <c r="D42" s="12" t="s">
        <v>5</v>
      </c>
      <c r="E42" s="12" t="s">
        <v>2</v>
      </c>
      <c r="F42" s="13" t="s">
        <v>6</v>
      </c>
      <c r="G42" s="13" t="s">
        <v>1</v>
      </c>
    </row>
    <row r="43" spans="2:7" x14ac:dyDescent="0.3">
      <c r="B43" s="16" t="s">
        <v>30</v>
      </c>
      <c r="C43" s="16">
        <v>33</v>
      </c>
      <c r="D43" s="12" t="s">
        <v>8</v>
      </c>
      <c r="E43" s="12">
        <v>10</v>
      </c>
      <c r="F43" s="13" t="s">
        <v>18</v>
      </c>
      <c r="G43" s="13">
        <v>32</v>
      </c>
    </row>
    <row r="44" spans="2:7" x14ac:dyDescent="0.3">
      <c r="B44" s="16" t="s">
        <v>31</v>
      </c>
      <c r="C44" s="16">
        <v>27</v>
      </c>
      <c r="D44" s="12" t="s">
        <v>9</v>
      </c>
      <c r="E44" s="12">
        <v>0</v>
      </c>
      <c r="F44" s="13" t="s">
        <v>19</v>
      </c>
      <c r="G44" s="13">
        <v>0</v>
      </c>
    </row>
    <row r="45" spans="2:7" x14ac:dyDescent="0.3">
      <c r="B45" s="16" t="s">
        <v>32</v>
      </c>
      <c r="C45" s="16">
        <v>22</v>
      </c>
      <c r="D45" s="12" t="s">
        <v>10</v>
      </c>
      <c r="E45" s="12">
        <v>19</v>
      </c>
      <c r="F45" s="13" t="s">
        <v>20</v>
      </c>
      <c r="G45" s="13">
        <v>0</v>
      </c>
    </row>
    <row r="46" spans="2:7" x14ac:dyDescent="0.3">
      <c r="B46" s="16" t="s">
        <v>33</v>
      </c>
      <c r="C46" s="16">
        <v>23</v>
      </c>
      <c r="D46" s="12" t="s">
        <v>11</v>
      </c>
      <c r="E46" s="12">
        <v>22</v>
      </c>
      <c r="F46" s="13" t="s">
        <v>21</v>
      </c>
      <c r="G46" s="13">
        <v>17</v>
      </c>
    </row>
    <row r="47" spans="2:7" x14ac:dyDescent="0.3">
      <c r="B47" s="16" t="s">
        <v>34</v>
      </c>
      <c r="C47" s="16">
        <v>26</v>
      </c>
      <c r="D47" s="12" t="s">
        <v>12</v>
      </c>
      <c r="E47" s="12">
        <v>44</v>
      </c>
      <c r="F47" s="13" t="s">
        <v>22</v>
      </c>
      <c r="G47" s="13">
        <v>0</v>
      </c>
    </row>
    <row r="48" spans="2:7" x14ac:dyDescent="0.3">
      <c r="B48" s="16" t="s">
        <v>35</v>
      </c>
      <c r="C48" s="16">
        <v>23</v>
      </c>
      <c r="D48" s="12" t="s">
        <v>13</v>
      </c>
      <c r="E48" s="12">
        <v>39</v>
      </c>
      <c r="F48" s="13" t="s">
        <v>23</v>
      </c>
      <c r="G48" s="13">
        <v>13</v>
      </c>
    </row>
    <row r="49" spans="2:7" x14ac:dyDescent="0.3">
      <c r="B49" s="16" t="s">
        <v>36</v>
      </c>
      <c r="C49" s="16">
        <v>0</v>
      </c>
      <c r="D49" s="12" t="s">
        <v>14</v>
      </c>
      <c r="E49" s="12">
        <v>43</v>
      </c>
      <c r="F49" s="13" t="s">
        <v>24</v>
      </c>
      <c r="G49" s="13">
        <v>22</v>
      </c>
    </row>
    <row r="50" spans="2:7" x14ac:dyDescent="0.3">
      <c r="B50" s="16" t="s">
        <v>37</v>
      </c>
      <c r="C50" s="16">
        <v>25</v>
      </c>
      <c r="D50" s="12" t="s">
        <v>15</v>
      </c>
      <c r="E50" s="12">
        <v>31</v>
      </c>
      <c r="F50" s="13" t="s">
        <v>25</v>
      </c>
      <c r="G50" s="13">
        <v>24</v>
      </c>
    </row>
    <row r="51" spans="2:7" x14ac:dyDescent="0.3">
      <c r="B51" s="16" t="s">
        <v>38</v>
      </c>
      <c r="C51" s="16">
        <v>22</v>
      </c>
      <c r="D51" s="12" t="s">
        <v>16</v>
      </c>
      <c r="E51" s="12">
        <v>24</v>
      </c>
      <c r="F51" s="13" t="s">
        <v>26</v>
      </c>
      <c r="G51" s="13">
        <v>10</v>
      </c>
    </row>
    <row r="52" spans="2:7" x14ac:dyDescent="0.3">
      <c r="B52" s="16" t="s">
        <v>39</v>
      </c>
      <c r="C52" s="16">
        <v>37</v>
      </c>
      <c r="D52" s="12" t="s">
        <v>17</v>
      </c>
      <c r="E52" s="12">
        <v>10</v>
      </c>
      <c r="F52" s="13" t="s">
        <v>27</v>
      </c>
      <c r="G52" s="13">
        <v>20</v>
      </c>
    </row>
    <row r="53" spans="2:7" x14ac:dyDescent="0.3">
      <c r="B53" s="16"/>
      <c r="C53" s="16"/>
      <c r="D53" s="12"/>
      <c r="E53" s="12"/>
      <c r="F53" s="13"/>
      <c r="G53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52F6-0934-4277-9D30-E21DFD7899F3}">
  <dimension ref="A1:Y32"/>
  <sheetViews>
    <sheetView zoomScale="27" zoomScaleNormal="10" workbookViewId="0">
      <selection activeCell="AF14" sqref="AF14"/>
    </sheetView>
  </sheetViews>
  <sheetFormatPr defaultRowHeight="14.4" x14ac:dyDescent="0.3"/>
  <cols>
    <col min="1" max="1" width="30.5546875" customWidth="1"/>
    <col min="2" max="2" width="34.109375" customWidth="1"/>
    <col min="3" max="3" width="27.109375" customWidth="1"/>
    <col min="7" max="7" width="33.33203125" customWidth="1"/>
    <col min="8" max="8" width="42.77734375" customWidth="1"/>
    <col min="9" max="9" width="36.44140625" customWidth="1"/>
    <col min="14" max="14" width="33.109375" customWidth="1"/>
    <col min="15" max="15" width="36.88671875" customWidth="1"/>
    <col min="16" max="16" width="51.109375" customWidth="1"/>
  </cols>
  <sheetData>
    <row r="1" spans="1:25" ht="33.6" x14ac:dyDescent="0.65">
      <c r="A1" s="7" t="s">
        <v>117</v>
      </c>
      <c r="G1" s="7" t="s">
        <v>118</v>
      </c>
      <c r="N1" s="45" t="s">
        <v>119</v>
      </c>
    </row>
    <row r="2" spans="1:25" ht="35.4" x14ac:dyDescent="0.6">
      <c r="A2" s="42" t="s">
        <v>114</v>
      </c>
      <c r="B2" s="42" t="s">
        <v>115</v>
      </c>
      <c r="C2" s="42" t="s">
        <v>116</v>
      </c>
      <c r="G2" s="42" t="s">
        <v>114</v>
      </c>
      <c r="H2" s="42" t="s">
        <v>115</v>
      </c>
      <c r="I2" s="42" t="s">
        <v>116</v>
      </c>
      <c r="N2" s="42" t="s">
        <v>114</v>
      </c>
      <c r="O2" s="42" t="s">
        <v>115</v>
      </c>
      <c r="P2" s="42" t="s">
        <v>116</v>
      </c>
    </row>
    <row r="3" spans="1:25" ht="35.4" x14ac:dyDescent="0.6">
      <c r="A3" s="43" t="s">
        <v>30</v>
      </c>
      <c r="B3" s="44">
        <v>20</v>
      </c>
      <c r="C3" s="44">
        <v>30</v>
      </c>
      <c r="G3" s="43" t="s">
        <v>30</v>
      </c>
      <c r="H3" s="44">
        <v>6</v>
      </c>
      <c r="I3" s="44">
        <v>10</v>
      </c>
      <c r="N3" s="43" t="s">
        <v>30</v>
      </c>
      <c r="O3" s="44">
        <v>25</v>
      </c>
      <c r="P3" s="44">
        <v>33</v>
      </c>
    </row>
    <row r="4" spans="1:25" ht="35.4" x14ac:dyDescent="0.6">
      <c r="A4" s="44" t="s">
        <v>31</v>
      </c>
      <c r="B4" s="44">
        <v>12</v>
      </c>
      <c r="C4" s="44">
        <v>22</v>
      </c>
      <c r="G4" s="44" t="s">
        <v>31</v>
      </c>
      <c r="H4" s="44">
        <v>10</v>
      </c>
      <c r="I4" s="44">
        <v>19</v>
      </c>
      <c r="N4" s="44" t="s">
        <v>31</v>
      </c>
      <c r="O4" s="44">
        <v>21</v>
      </c>
      <c r="P4" s="44">
        <v>27</v>
      </c>
    </row>
    <row r="5" spans="1:25" ht="36.6" x14ac:dyDescent="0.7">
      <c r="A5" s="44" t="s">
        <v>32</v>
      </c>
      <c r="B5" s="44">
        <v>16</v>
      </c>
      <c r="C5" s="44">
        <v>20</v>
      </c>
      <c r="G5" s="44" t="s">
        <v>32</v>
      </c>
      <c r="H5" s="44">
        <v>9</v>
      </c>
      <c r="I5" s="44">
        <v>15</v>
      </c>
      <c r="N5" s="44" t="s">
        <v>32</v>
      </c>
      <c r="O5" s="44">
        <v>13</v>
      </c>
      <c r="P5" s="44">
        <v>22</v>
      </c>
      <c r="Y5" s="8" t="s">
        <v>108</v>
      </c>
    </row>
    <row r="6" spans="1:25" ht="36.6" x14ac:dyDescent="0.7">
      <c r="A6" s="44" t="s">
        <v>33</v>
      </c>
      <c r="B6" s="44">
        <v>36</v>
      </c>
      <c r="C6" s="44">
        <v>45</v>
      </c>
      <c r="G6" s="44" t="s">
        <v>33</v>
      </c>
      <c r="H6" s="44">
        <v>12</v>
      </c>
      <c r="I6" s="44">
        <v>20</v>
      </c>
      <c r="N6" s="44" t="s">
        <v>33</v>
      </c>
      <c r="O6" s="44">
        <v>13</v>
      </c>
      <c r="P6" s="44">
        <v>23</v>
      </c>
      <c r="Y6" s="8" t="s">
        <v>109</v>
      </c>
    </row>
    <row r="7" spans="1:25" ht="36.6" x14ac:dyDescent="0.7">
      <c r="A7" s="44" t="s">
        <v>34</v>
      </c>
      <c r="B7" s="44">
        <v>11</v>
      </c>
      <c r="C7" s="44">
        <v>16</v>
      </c>
      <c r="G7" s="44" t="s">
        <v>34</v>
      </c>
      <c r="H7" s="44">
        <v>11</v>
      </c>
      <c r="I7" s="44">
        <v>18</v>
      </c>
      <c r="N7" s="44" t="s">
        <v>34</v>
      </c>
      <c r="O7" s="44">
        <v>19</v>
      </c>
      <c r="P7" s="44">
        <v>26</v>
      </c>
      <c r="Y7" s="8" t="s">
        <v>110</v>
      </c>
    </row>
    <row r="8" spans="1:25" ht="36.6" x14ac:dyDescent="0.7">
      <c r="A8" s="44" t="s">
        <v>35</v>
      </c>
      <c r="B8" s="44">
        <v>20</v>
      </c>
      <c r="C8" s="44">
        <v>28</v>
      </c>
      <c r="G8" s="44" t="s">
        <v>35</v>
      </c>
      <c r="H8" s="44">
        <v>14</v>
      </c>
      <c r="I8" s="44">
        <v>20</v>
      </c>
      <c r="N8" s="44" t="s">
        <v>35</v>
      </c>
      <c r="O8" s="44">
        <v>13</v>
      </c>
      <c r="P8" s="44">
        <v>23</v>
      </c>
      <c r="Y8" s="8" t="s">
        <v>111</v>
      </c>
    </row>
    <row r="9" spans="1:25" ht="36.6" x14ac:dyDescent="0.7">
      <c r="A9" s="44" t="s">
        <v>36</v>
      </c>
      <c r="B9" s="44">
        <v>17</v>
      </c>
      <c r="C9" s="44">
        <v>23</v>
      </c>
      <c r="G9" s="44" t="s">
        <v>36</v>
      </c>
      <c r="H9" s="44">
        <v>10</v>
      </c>
      <c r="I9" s="44">
        <v>16</v>
      </c>
      <c r="N9" s="44" t="s">
        <v>36</v>
      </c>
      <c r="O9" s="44">
        <v>16</v>
      </c>
      <c r="P9" s="44">
        <v>0</v>
      </c>
      <c r="Y9" s="8" t="s">
        <v>112</v>
      </c>
    </row>
    <row r="10" spans="1:25" ht="36.6" x14ac:dyDescent="0.7">
      <c r="A10" s="44" t="s">
        <v>37</v>
      </c>
      <c r="B10" s="44">
        <v>14</v>
      </c>
      <c r="C10" s="44">
        <v>20</v>
      </c>
      <c r="G10" s="44" t="s">
        <v>37</v>
      </c>
      <c r="H10" s="44">
        <v>8</v>
      </c>
      <c r="I10" s="44">
        <v>15</v>
      </c>
      <c r="N10" s="44" t="s">
        <v>37</v>
      </c>
      <c r="O10" s="44">
        <v>16</v>
      </c>
      <c r="P10" s="44">
        <v>25</v>
      </c>
      <c r="Y10" s="8" t="s">
        <v>113</v>
      </c>
    </row>
    <row r="11" spans="1:25" ht="36.6" x14ac:dyDescent="0.7">
      <c r="A11" s="44" t="s">
        <v>38</v>
      </c>
      <c r="B11" s="44">
        <v>26</v>
      </c>
      <c r="C11" s="44">
        <v>33</v>
      </c>
      <c r="G11" s="44" t="s">
        <v>38</v>
      </c>
      <c r="H11" s="44">
        <v>12</v>
      </c>
      <c r="I11" s="44">
        <v>0</v>
      </c>
      <c r="N11" s="44" t="s">
        <v>38</v>
      </c>
      <c r="O11" s="44">
        <v>12</v>
      </c>
      <c r="P11" s="44">
        <v>22</v>
      </c>
      <c r="Y11" s="8" t="s">
        <v>120</v>
      </c>
    </row>
    <row r="12" spans="1:25" ht="35.4" x14ac:dyDescent="0.6">
      <c r="A12" s="44" t="s">
        <v>39</v>
      </c>
      <c r="B12" s="44">
        <v>18</v>
      </c>
      <c r="C12" s="44">
        <v>0</v>
      </c>
      <c r="G12" s="44" t="s">
        <v>39</v>
      </c>
      <c r="H12" s="44">
        <v>15</v>
      </c>
      <c r="I12" s="44">
        <v>22</v>
      </c>
      <c r="N12" s="44" t="s">
        <v>39</v>
      </c>
      <c r="O12" s="44">
        <v>28</v>
      </c>
      <c r="P12" s="44">
        <v>37</v>
      </c>
    </row>
    <row r="13" spans="1:25" ht="35.4" x14ac:dyDescent="0.6">
      <c r="A13" s="43" t="s">
        <v>8</v>
      </c>
      <c r="B13" s="44">
        <v>14</v>
      </c>
      <c r="C13" s="44">
        <v>20</v>
      </c>
      <c r="G13" s="43" t="s">
        <v>8</v>
      </c>
      <c r="H13" s="44">
        <v>22</v>
      </c>
      <c r="I13" s="44">
        <v>29</v>
      </c>
      <c r="N13" s="43" t="s">
        <v>8</v>
      </c>
      <c r="O13" s="44">
        <v>5</v>
      </c>
      <c r="P13" s="44">
        <v>10</v>
      </c>
    </row>
    <row r="14" spans="1:25" ht="35.4" x14ac:dyDescent="0.6">
      <c r="A14" s="44" t="s">
        <v>9</v>
      </c>
      <c r="B14" s="44">
        <v>9</v>
      </c>
      <c r="C14" s="44">
        <v>18</v>
      </c>
      <c r="G14" s="44" t="s">
        <v>9</v>
      </c>
      <c r="H14" s="44">
        <v>35</v>
      </c>
      <c r="I14" s="44">
        <v>42</v>
      </c>
      <c r="N14" s="44" t="s">
        <v>9</v>
      </c>
      <c r="O14" s="44">
        <v>31</v>
      </c>
      <c r="P14" s="44">
        <v>0</v>
      </c>
    </row>
    <row r="15" spans="1:25" ht="35.4" x14ac:dyDescent="0.6">
      <c r="A15" s="44" t="s">
        <v>10</v>
      </c>
      <c r="B15" s="44">
        <v>24</v>
      </c>
      <c r="C15" s="44">
        <v>34</v>
      </c>
      <c r="G15" s="44" t="s">
        <v>10</v>
      </c>
      <c r="H15" s="44">
        <v>38</v>
      </c>
      <c r="I15" s="44">
        <v>46</v>
      </c>
      <c r="N15" s="44" t="s">
        <v>10</v>
      </c>
      <c r="O15" s="44">
        <v>13</v>
      </c>
      <c r="P15" s="44">
        <v>19</v>
      </c>
    </row>
    <row r="16" spans="1:25" ht="35.4" x14ac:dyDescent="0.6">
      <c r="A16" s="44" t="s">
        <v>11</v>
      </c>
      <c r="B16" s="44">
        <v>29</v>
      </c>
      <c r="C16" s="44">
        <v>35</v>
      </c>
      <c r="G16" s="44" t="s">
        <v>11</v>
      </c>
      <c r="H16" s="44">
        <v>13</v>
      </c>
      <c r="I16" s="44">
        <v>19</v>
      </c>
      <c r="N16" s="44" t="s">
        <v>11</v>
      </c>
      <c r="O16" s="44">
        <v>13</v>
      </c>
      <c r="P16" s="44">
        <v>22</v>
      </c>
    </row>
    <row r="17" spans="1:16" ht="35.4" x14ac:dyDescent="0.6">
      <c r="A17" s="44" t="s">
        <v>12</v>
      </c>
      <c r="B17" s="44">
        <v>13</v>
      </c>
      <c r="C17" s="44">
        <v>17</v>
      </c>
      <c r="G17" s="44" t="s">
        <v>12</v>
      </c>
      <c r="H17" s="44">
        <v>15</v>
      </c>
      <c r="I17" s="44">
        <v>21</v>
      </c>
      <c r="N17" s="44" t="s">
        <v>12</v>
      </c>
      <c r="O17" s="44">
        <v>33</v>
      </c>
      <c r="P17" s="44">
        <v>44</v>
      </c>
    </row>
    <row r="18" spans="1:16" ht="35.4" x14ac:dyDescent="0.6">
      <c r="A18" s="44" t="s">
        <v>13</v>
      </c>
      <c r="B18" s="44">
        <v>22</v>
      </c>
      <c r="C18" s="44">
        <v>32</v>
      </c>
      <c r="G18" s="44" t="s">
        <v>13</v>
      </c>
      <c r="H18" s="44">
        <v>24</v>
      </c>
      <c r="I18" s="44">
        <v>31</v>
      </c>
      <c r="N18" s="44" t="s">
        <v>13</v>
      </c>
      <c r="O18" s="44">
        <v>31</v>
      </c>
      <c r="P18" s="44">
        <v>39</v>
      </c>
    </row>
    <row r="19" spans="1:16" ht="35.4" x14ac:dyDescent="0.6">
      <c r="A19" s="44" t="s">
        <v>14</v>
      </c>
      <c r="B19" s="44">
        <v>21</v>
      </c>
      <c r="C19" s="44">
        <v>28</v>
      </c>
      <c r="G19" s="44" t="s">
        <v>14</v>
      </c>
      <c r="H19" s="44">
        <v>22</v>
      </c>
      <c r="I19" s="44">
        <v>31</v>
      </c>
      <c r="N19" s="44" t="s">
        <v>14</v>
      </c>
      <c r="O19" s="44">
        <v>34</v>
      </c>
      <c r="P19" s="44">
        <v>43</v>
      </c>
    </row>
    <row r="20" spans="1:16" ht="35.4" x14ac:dyDescent="0.6">
      <c r="A20" s="44" t="s">
        <v>15</v>
      </c>
      <c r="B20" s="44">
        <v>13</v>
      </c>
      <c r="C20" s="44">
        <v>22</v>
      </c>
      <c r="G20" s="44" t="s">
        <v>15</v>
      </c>
      <c r="H20" s="44">
        <v>34</v>
      </c>
      <c r="I20" s="44">
        <v>41</v>
      </c>
      <c r="N20" s="44" t="s">
        <v>15</v>
      </c>
      <c r="O20" s="44">
        <v>21</v>
      </c>
      <c r="P20" s="44">
        <v>31</v>
      </c>
    </row>
    <row r="21" spans="1:16" ht="35.4" x14ac:dyDescent="0.6">
      <c r="A21" s="44" t="s">
        <v>16</v>
      </c>
      <c r="B21" s="44">
        <v>15</v>
      </c>
      <c r="C21" s="44">
        <v>22</v>
      </c>
      <c r="G21" s="44" t="s">
        <v>16</v>
      </c>
      <c r="H21" s="44">
        <v>14</v>
      </c>
      <c r="I21" s="44">
        <v>24</v>
      </c>
      <c r="N21" s="44" t="s">
        <v>16</v>
      </c>
      <c r="O21" s="44">
        <v>16</v>
      </c>
      <c r="P21" s="44">
        <v>24</v>
      </c>
    </row>
    <row r="22" spans="1:16" ht="35.4" x14ac:dyDescent="0.6">
      <c r="A22" s="44" t="s">
        <v>17</v>
      </c>
      <c r="B22" s="44">
        <v>9</v>
      </c>
      <c r="C22" s="44">
        <v>0</v>
      </c>
      <c r="G22" s="44" t="s">
        <v>17</v>
      </c>
      <c r="H22" s="44">
        <v>30</v>
      </c>
      <c r="I22" s="44">
        <v>37</v>
      </c>
      <c r="N22" s="44" t="s">
        <v>17</v>
      </c>
      <c r="O22" s="44">
        <v>5</v>
      </c>
      <c r="P22" s="44">
        <v>10</v>
      </c>
    </row>
    <row r="23" spans="1:16" ht="35.4" x14ac:dyDescent="0.6">
      <c r="A23" s="43" t="s">
        <v>18</v>
      </c>
      <c r="B23" s="44">
        <v>24</v>
      </c>
      <c r="C23" s="44">
        <v>32</v>
      </c>
      <c r="G23" s="43" t="s">
        <v>18</v>
      </c>
      <c r="H23" s="44">
        <v>23</v>
      </c>
      <c r="I23" s="44">
        <v>31</v>
      </c>
      <c r="N23" s="43" t="s">
        <v>18</v>
      </c>
      <c r="O23" s="44">
        <v>25</v>
      </c>
      <c r="P23" s="44">
        <v>32</v>
      </c>
    </row>
    <row r="24" spans="1:16" ht="35.4" x14ac:dyDescent="0.6">
      <c r="A24" s="44" t="s">
        <v>19</v>
      </c>
      <c r="B24" s="44">
        <v>16</v>
      </c>
      <c r="C24" s="44">
        <v>26</v>
      </c>
      <c r="G24" s="44" t="s">
        <v>19</v>
      </c>
      <c r="H24" s="44">
        <v>35</v>
      </c>
      <c r="I24" s="44">
        <v>46</v>
      </c>
      <c r="N24" s="44" t="s">
        <v>19</v>
      </c>
      <c r="O24" s="44">
        <v>5</v>
      </c>
      <c r="P24" s="44">
        <v>0</v>
      </c>
    </row>
    <row r="25" spans="1:16" ht="35.4" x14ac:dyDescent="0.6">
      <c r="A25" s="44" t="s">
        <v>20</v>
      </c>
      <c r="B25" s="44">
        <v>24</v>
      </c>
      <c r="C25" s="44">
        <v>29</v>
      </c>
      <c r="G25" s="44" t="s">
        <v>20</v>
      </c>
      <c r="H25" s="44">
        <v>14</v>
      </c>
      <c r="I25" s="44">
        <v>21</v>
      </c>
      <c r="N25" s="44" t="s">
        <v>20</v>
      </c>
      <c r="O25" s="44">
        <v>16</v>
      </c>
      <c r="P25" s="44">
        <v>0</v>
      </c>
    </row>
    <row r="26" spans="1:16" ht="35.4" x14ac:dyDescent="0.6">
      <c r="A26" s="44" t="s">
        <v>21</v>
      </c>
      <c r="B26" s="44">
        <v>23</v>
      </c>
      <c r="C26" s="44">
        <v>31</v>
      </c>
      <c r="G26" s="44" t="s">
        <v>21</v>
      </c>
      <c r="H26" s="44">
        <v>12</v>
      </c>
      <c r="I26" s="44">
        <v>0</v>
      </c>
      <c r="N26" s="44" t="s">
        <v>21</v>
      </c>
      <c r="O26" s="44">
        <v>10</v>
      </c>
      <c r="P26" s="44">
        <v>17</v>
      </c>
    </row>
    <row r="27" spans="1:16" ht="35.4" x14ac:dyDescent="0.6">
      <c r="A27" s="44" t="s">
        <v>22</v>
      </c>
      <c r="B27" s="44">
        <v>8</v>
      </c>
      <c r="C27" s="44">
        <v>12</v>
      </c>
      <c r="G27" s="44" t="s">
        <v>22</v>
      </c>
      <c r="H27" s="44">
        <v>31</v>
      </c>
      <c r="I27" s="44">
        <v>42</v>
      </c>
      <c r="N27" s="44" t="s">
        <v>22</v>
      </c>
      <c r="O27" s="44">
        <v>24</v>
      </c>
      <c r="P27" s="44">
        <v>0</v>
      </c>
    </row>
    <row r="28" spans="1:16" ht="35.4" x14ac:dyDescent="0.6">
      <c r="A28" s="44" t="s">
        <v>23</v>
      </c>
      <c r="B28" s="44">
        <v>12</v>
      </c>
      <c r="C28" s="44">
        <v>21</v>
      </c>
      <c r="G28" s="44" t="s">
        <v>23</v>
      </c>
      <c r="H28" s="44">
        <v>10</v>
      </c>
      <c r="I28" s="44">
        <v>18</v>
      </c>
      <c r="N28" s="44" t="s">
        <v>23</v>
      </c>
      <c r="O28" s="44">
        <v>9</v>
      </c>
      <c r="P28" s="44">
        <v>13</v>
      </c>
    </row>
    <row r="29" spans="1:16" ht="35.4" x14ac:dyDescent="0.6">
      <c r="A29" s="44" t="s">
        <v>24</v>
      </c>
      <c r="B29" s="44">
        <v>18</v>
      </c>
      <c r="C29" s="44">
        <v>24</v>
      </c>
      <c r="G29" s="44" t="s">
        <v>24</v>
      </c>
      <c r="H29" s="44">
        <v>17</v>
      </c>
      <c r="I29" s="44">
        <v>23</v>
      </c>
      <c r="N29" s="44" t="s">
        <v>24</v>
      </c>
      <c r="O29" s="44">
        <v>15</v>
      </c>
      <c r="P29" s="44">
        <v>22</v>
      </c>
    </row>
    <row r="30" spans="1:16" ht="35.4" x14ac:dyDescent="0.6">
      <c r="A30" s="44" t="s">
        <v>25</v>
      </c>
      <c r="B30" s="44">
        <v>10</v>
      </c>
      <c r="C30" s="44">
        <v>16</v>
      </c>
      <c r="G30" s="44" t="s">
        <v>25</v>
      </c>
      <c r="H30" s="44">
        <v>10</v>
      </c>
      <c r="I30" s="44">
        <v>0</v>
      </c>
      <c r="N30" s="44" t="s">
        <v>25</v>
      </c>
      <c r="O30" s="44">
        <v>16</v>
      </c>
      <c r="P30" s="44">
        <v>24</v>
      </c>
    </row>
    <row r="31" spans="1:16" ht="35.4" x14ac:dyDescent="0.6">
      <c r="A31" s="44" t="s">
        <v>26</v>
      </c>
      <c r="B31" s="44">
        <v>7</v>
      </c>
      <c r="C31" s="44">
        <v>0</v>
      </c>
      <c r="G31" s="44" t="s">
        <v>26</v>
      </c>
      <c r="H31" s="44">
        <v>28</v>
      </c>
      <c r="I31" s="44">
        <v>35</v>
      </c>
      <c r="N31" s="44" t="s">
        <v>26</v>
      </c>
      <c r="O31" s="44">
        <v>5</v>
      </c>
      <c r="P31" s="44">
        <v>10</v>
      </c>
    </row>
    <row r="32" spans="1:16" ht="35.4" x14ac:dyDescent="0.6">
      <c r="A32" s="44" t="s">
        <v>27</v>
      </c>
      <c r="B32" s="44">
        <v>8</v>
      </c>
      <c r="C32" s="44">
        <v>15</v>
      </c>
      <c r="G32" s="44" t="s">
        <v>27</v>
      </c>
      <c r="H32" s="44">
        <v>10</v>
      </c>
      <c r="I32" s="44">
        <v>18</v>
      </c>
      <c r="N32" s="44" t="s">
        <v>27</v>
      </c>
      <c r="O32" s="44">
        <v>10</v>
      </c>
      <c r="P32" s="44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1410-8467-427F-A51F-8F3011DD3FB3}">
  <dimension ref="A2:J24"/>
  <sheetViews>
    <sheetView zoomScale="73" workbookViewId="0">
      <selection activeCell="F30" sqref="F30"/>
    </sheetView>
  </sheetViews>
  <sheetFormatPr defaultRowHeight="14.4" x14ac:dyDescent="0.3"/>
  <cols>
    <col min="2" max="2" width="16.21875" customWidth="1"/>
    <col min="3" max="3" width="16.6640625" customWidth="1"/>
    <col min="4" max="4" width="15.88671875" customWidth="1"/>
    <col min="5" max="5" width="27.88671875" customWidth="1"/>
    <col min="6" max="6" width="26.44140625" customWidth="1"/>
    <col min="7" max="7" width="19.44140625" customWidth="1"/>
    <col min="8" max="8" width="20.77734375" customWidth="1"/>
    <col min="9" max="9" width="22.5546875" customWidth="1"/>
    <col min="10" max="10" width="19.44140625" customWidth="1"/>
  </cols>
  <sheetData>
    <row r="2" spans="1:10" x14ac:dyDescent="0.3">
      <c r="A2" t="s">
        <v>97</v>
      </c>
    </row>
    <row r="4" spans="1:10" x14ac:dyDescent="0.3">
      <c r="B4" s="1" t="s">
        <v>98</v>
      </c>
      <c r="C4" s="6" t="s">
        <v>99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140</v>
      </c>
      <c r="I4" s="6" t="s">
        <v>141</v>
      </c>
      <c r="J4" s="6" t="s">
        <v>123</v>
      </c>
    </row>
    <row r="5" spans="1:10" x14ac:dyDescent="0.3">
      <c r="B5" s="5" t="s">
        <v>100</v>
      </c>
      <c r="C5" s="1">
        <v>41.073999999999998</v>
      </c>
      <c r="D5" s="1">
        <v>5.5</v>
      </c>
      <c r="E5" s="1">
        <v>46.573999999999998</v>
      </c>
      <c r="F5" s="1">
        <v>46.073999999999998</v>
      </c>
      <c r="G5" s="1">
        <v>0.5</v>
      </c>
      <c r="H5" s="1">
        <v>46.073999999999998</v>
      </c>
      <c r="I5" s="1">
        <v>45.723999999999997</v>
      </c>
      <c r="J5" s="1">
        <v>0.35</v>
      </c>
    </row>
    <row r="6" spans="1:10" x14ac:dyDescent="0.3">
      <c r="B6" s="1" t="s">
        <v>60</v>
      </c>
      <c r="C6" s="1">
        <v>39.162999999999997</v>
      </c>
      <c r="D6" s="1">
        <v>5.36</v>
      </c>
      <c r="E6" s="1">
        <v>44.523000000000003</v>
      </c>
      <c r="F6" s="1">
        <v>44.162999999999997</v>
      </c>
      <c r="G6" s="1">
        <v>0.36</v>
      </c>
      <c r="H6" s="1">
        <v>44.162999999999997</v>
      </c>
      <c r="I6" s="1">
        <v>43.787999999999997</v>
      </c>
      <c r="J6" s="1">
        <v>0.375</v>
      </c>
    </row>
    <row r="7" spans="1:10" x14ac:dyDescent="0.3">
      <c r="B7" s="5" t="s">
        <v>101</v>
      </c>
      <c r="C7" s="1">
        <v>61.954999999999998</v>
      </c>
      <c r="D7" s="1">
        <v>5.78</v>
      </c>
      <c r="E7" s="1">
        <v>67.734999999999999</v>
      </c>
      <c r="F7" s="1">
        <v>66.954999999999998</v>
      </c>
      <c r="G7" s="1">
        <v>0.78</v>
      </c>
      <c r="H7" s="1">
        <v>66.954999999999998</v>
      </c>
      <c r="I7" s="1">
        <v>66.614999999999995</v>
      </c>
      <c r="J7" s="1">
        <v>0.34</v>
      </c>
    </row>
    <row r="8" spans="1:10" x14ac:dyDescent="0.3">
      <c r="B8" s="1" t="s">
        <v>102</v>
      </c>
      <c r="C8" s="1">
        <v>60.709000000000003</v>
      </c>
      <c r="D8" s="1">
        <v>6.8860000000000001</v>
      </c>
      <c r="E8" s="1">
        <v>67.594999999999999</v>
      </c>
      <c r="F8" s="1">
        <v>66.954999999999998</v>
      </c>
      <c r="G8" s="1">
        <v>0.64</v>
      </c>
      <c r="H8" s="1">
        <v>66.954999999999998</v>
      </c>
      <c r="I8" s="1">
        <v>65.253</v>
      </c>
      <c r="J8" s="1">
        <v>0.45600000000000002</v>
      </c>
    </row>
    <row r="12" spans="1:10" x14ac:dyDescent="0.3">
      <c r="B12" s="9" t="s">
        <v>64</v>
      </c>
      <c r="C12" s="9" t="s">
        <v>130</v>
      </c>
      <c r="D12" s="9" t="s">
        <v>131</v>
      </c>
      <c r="E12" s="9" t="s">
        <v>133</v>
      </c>
      <c r="F12" s="9" t="s">
        <v>132</v>
      </c>
      <c r="G12" s="9" t="s">
        <v>123</v>
      </c>
      <c r="H12" s="9" t="s">
        <v>140</v>
      </c>
      <c r="I12" s="9" t="s">
        <v>141</v>
      </c>
      <c r="J12" s="9" t="s">
        <v>123</v>
      </c>
    </row>
    <row r="13" spans="1:10" x14ac:dyDescent="0.3">
      <c r="B13" s="1" t="s">
        <v>134</v>
      </c>
      <c r="C13" s="1">
        <v>38.305999999999997</v>
      </c>
      <c r="D13" s="1">
        <v>6</v>
      </c>
      <c r="E13" s="1">
        <v>44.305999999999997</v>
      </c>
      <c r="F13" s="1">
        <v>43.366</v>
      </c>
      <c r="G13" s="1">
        <v>0.94</v>
      </c>
      <c r="H13" s="1">
        <v>43.366</v>
      </c>
      <c r="I13" s="1">
        <v>41.752000000000002</v>
      </c>
      <c r="J13" s="1">
        <v>1.6140000000000001</v>
      </c>
    </row>
    <row r="14" spans="1:10" x14ac:dyDescent="0.3">
      <c r="B14" s="1" t="s">
        <v>135</v>
      </c>
      <c r="C14" s="1">
        <v>60.93</v>
      </c>
      <c r="D14" s="1">
        <v>6</v>
      </c>
      <c r="E14" s="1">
        <v>66.930000000000007</v>
      </c>
      <c r="F14" s="1">
        <v>66.08</v>
      </c>
      <c r="G14" s="1">
        <v>0.85</v>
      </c>
      <c r="H14" s="1">
        <v>66.08</v>
      </c>
      <c r="I14" s="1">
        <v>63.942</v>
      </c>
      <c r="J14" s="1">
        <v>2.1379999999999999</v>
      </c>
    </row>
    <row r="15" spans="1:10" x14ac:dyDescent="0.3">
      <c r="B15" s="1"/>
      <c r="C15" s="1"/>
      <c r="D15" s="1"/>
      <c r="E15" s="1"/>
      <c r="F15" s="1"/>
      <c r="G15" s="1"/>
      <c r="H15" s="1"/>
      <c r="I15" s="1"/>
      <c r="J15" s="1"/>
    </row>
    <row r="24" spans="2:2" x14ac:dyDescent="0.3">
      <c r="B24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F293-9E62-4E17-9760-4DFB60947FE9}">
  <dimension ref="A1:J6"/>
  <sheetViews>
    <sheetView zoomScale="80" workbookViewId="0">
      <selection activeCell="I27" sqref="I27"/>
    </sheetView>
  </sheetViews>
  <sheetFormatPr defaultRowHeight="14.4" x14ac:dyDescent="0.3"/>
  <cols>
    <col min="2" max="2" width="11.109375" customWidth="1"/>
    <col min="3" max="3" width="13.6640625" customWidth="1"/>
    <col min="4" max="4" width="12.44140625" customWidth="1"/>
    <col min="5" max="5" width="34.6640625" customWidth="1"/>
    <col min="6" max="6" width="32.33203125" customWidth="1"/>
    <col min="7" max="7" width="18.33203125" customWidth="1"/>
    <col min="8" max="8" width="33.33203125" customWidth="1"/>
    <col min="9" max="9" width="32.109375" customWidth="1"/>
    <col min="10" max="10" width="13.77734375" customWidth="1"/>
  </cols>
  <sheetData>
    <row r="1" spans="1:10" x14ac:dyDescent="0.3">
      <c r="A1" t="s">
        <v>129</v>
      </c>
    </row>
    <row r="2" spans="1:10" x14ac:dyDescent="0.3">
      <c r="B2" s="1" t="s">
        <v>64</v>
      </c>
      <c r="C2" s="6" t="s">
        <v>121</v>
      </c>
      <c r="D2" s="6" t="s">
        <v>122</v>
      </c>
      <c r="E2" s="6" t="s">
        <v>136</v>
      </c>
      <c r="F2" s="6" t="s">
        <v>137</v>
      </c>
      <c r="G2" s="6" t="s">
        <v>138</v>
      </c>
      <c r="H2" s="6" t="s">
        <v>124</v>
      </c>
      <c r="I2" s="6" t="s">
        <v>125</v>
      </c>
      <c r="J2" s="6" t="s">
        <v>139</v>
      </c>
    </row>
    <row r="3" spans="1:10" x14ac:dyDescent="0.3">
      <c r="B3" s="5" t="s">
        <v>126</v>
      </c>
      <c r="C3" s="1">
        <v>61.024799999999999</v>
      </c>
      <c r="D3" s="1">
        <v>4.0305999999999997</v>
      </c>
      <c r="E3" s="1">
        <v>65.055400000000006</v>
      </c>
      <c r="F3" s="1">
        <v>64.775899999999993</v>
      </c>
      <c r="G3" s="1">
        <v>0.27950000000000003</v>
      </c>
      <c r="H3" s="1">
        <v>62.7759</v>
      </c>
      <c r="I3" s="1">
        <v>60.832000000000001</v>
      </c>
      <c r="J3" s="1">
        <v>1.9439</v>
      </c>
    </row>
    <row r="4" spans="1:10" x14ac:dyDescent="0.3">
      <c r="B4" s="1" t="s">
        <v>127</v>
      </c>
      <c r="C4" s="1">
        <v>60.401000000000003</v>
      </c>
      <c r="D4" s="1">
        <v>4</v>
      </c>
      <c r="E4" s="1">
        <v>64.400999999999996</v>
      </c>
      <c r="F4" s="1">
        <v>63.923000000000002</v>
      </c>
      <c r="G4" s="1">
        <v>0.47799999999999998</v>
      </c>
      <c r="H4" s="1">
        <v>61.923000000000002</v>
      </c>
      <c r="I4" s="1">
        <v>60.064</v>
      </c>
      <c r="J4" s="1">
        <v>1.8640000000000001</v>
      </c>
    </row>
    <row r="5" spans="1:10" x14ac:dyDescent="0.3">
      <c r="B5" s="5" t="s">
        <v>128</v>
      </c>
      <c r="C5" s="1">
        <v>55.082500000000003</v>
      </c>
      <c r="D5" s="1">
        <v>4.7293000000000003</v>
      </c>
      <c r="E5" s="1">
        <v>59.811799999999998</v>
      </c>
      <c r="F5" s="1">
        <v>59.016100000000002</v>
      </c>
      <c r="G5" s="1">
        <v>0.79569999999999996</v>
      </c>
      <c r="H5" s="1">
        <v>57.016100000000002</v>
      </c>
      <c r="I5" s="1">
        <v>55.370199999999997</v>
      </c>
      <c r="J5" s="1">
        <v>1.6458999999999999</v>
      </c>
    </row>
    <row r="6" spans="1:10" x14ac:dyDescent="0.3">
      <c r="B6" s="1" t="s">
        <v>127</v>
      </c>
      <c r="C6" s="1">
        <v>41.183999999999997</v>
      </c>
      <c r="D6" s="1">
        <v>4</v>
      </c>
      <c r="E6" s="1">
        <v>45.183999999999997</v>
      </c>
      <c r="F6" s="1">
        <v>44.796999999999997</v>
      </c>
      <c r="G6" s="1">
        <v>0.38700000000000001</v>
      </c>
      <c r="H6" s="1">
        <v>42.796999999999997</v>
      </c>
      <c r="I6" s="1">
        <v>41.274000000000001</v>
      </c>
      <c r="J6" s="1">
        <v>1.5229999999999999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EC76-2B71-4F76-A6C3-65D5F66481DA}">
  <dimension ref="B2:P89"/>
  <sheetViews>
    <sheetView topLeftCell="M77" zoomScale="83" workbookViewId="0">
      <selection activeCell="J99" sqref="J99"/>
    </sheetView>
  </sheetViews>
  <sheetFormatPr defaultRowHeight="14.4" x14ac:dyDescent="0.3"/>
  <cols>
    <col min="3" max="3" width="16.77734375" customWidth="1"/>
    <col min="4" max="4" width="14.5546875" customWidth="1"/>
    <col min="6" max="6" width="15.33203125" customWidth="1"/>
    <col min="7" max="7" width="15.5546875" customWidth="1"/>
    <col min="8" max="8" width="15.77734375" customWidth="1"/>
    <col min="9" max="9" width="12.5546875" customWidth="1"/>
    <col min="10" max="10" width="13.21875" customWidth="1"/>
    <col min="11" max="11" width="20.21875" customWidth="1"/>
    <col min="12" max="12" width="22.44140625" customWidth="1"/>
    <col min="13" max="13" width="18.77734375" customWidth="1"/>
    <col min="14" max="14" width="13.88671875" customWidth="1"/>
    <col min="15" max="15" width="13.44140625" customWidth="1"/>
    <col min="16" max="16" width="12.33203125" customWidth="1"/>
  </cols>
  <sheetData>
    <row r="2" spans="2:8" x14ac:dyDescent="0.3">
      <c r="B2" s="22" t="s">
        <v>145</v>
      </c>
      <c r="C2" s="10" t="s">
        <v>150</v>
      </c>
    </row>
    <row r="3" spans="2:8" x14ac:dyDescent="0.3">
      <c r="B3" t="s">
        <v>48</v>
      </c>
      <c r="F3" s="46" t="s">
        <v>49</v>
      </c>
      <c r="G3" s="46"/>
    </row>
    <row r="4" spans="2:8" x14ac:dyDescent="0.3">
      <c r="B4" s="1" t="s">
        <v>47</v>
      </c>
      <c r="C4" s="3" t="s">
        <v>45</v>
      </c>
      <c r="D4" s="3" t="s">
        <v>76</v>
      </c>
      <c r="F4" s="1" t="s">
        <v>47</v>
      </c>
      <c r="G4" s="3" t="s">
        <v>2</v>
      </c>
      <c r="H4" s="3" t="s">
        <v>76</v>
      </c>
    </row>
    <row r="5" spans="2:8" x14ac:dyDescent="0.3">
      <c r="B5" s="21">
        <v>1</v>
      </c>
      <c r="C5" s="21">
        <v>278</v>
      </c>
      <c r="D5" s="21">
        <v>17</v>
      </c>
      <c r="F5" s="23">
        <v>1</v>
      </c>
      <c r="G5" s="23">
        <v>315</v>
      </c>
      <c r="H5" s="23">
        <v>17</v>
      </c>
    </row>
    <row r="6" spans="2:8" x14ac:dyDescent="0.3">
      <c r="B6" s="21">
        <v>2</v>
      </c>
      <c r="C6" s="21">
        <v>292</v>
      </c>
      <c r="D6" s="21">
        <v>15</v>
      </c>
      <c r="F6" s="23">
        <v>2</v>
      </c>
      <c r="G6" s="23">
        <v>263</v>
      </c>
      <c r="H6" s="23">
        <v>15.5</v>
      </c>
    </row>
    <row r="7" spans="2:8" x14ac:dyDescent="0.3">
      <c r="B7" s="21">
        <v>3</v>
      </c>
      <c r="C7" s="21">
        <v>367</v>
      </c>
      <c r="D7" s="21">
        <v>18</v>
      </c>
      <c r="F7" s="23">
        <v>3</v>
      </c>
      <c r="G7" s="23">
        <v>405</v>
      </c>
      <c r="H7" s="23">
        <v>15</v>
      </c>
    </row>
    <row r="8" spans="2:8" x14ac:dyDescent="0.3">
      <c r="B8" s="21">
        <v>4</v>
      </c>
      <c r="C8" s="21">
        <v>359</v>
      </c>
      <c r="D8" s="21">
        <v>14</v>
      </c>
      <c r="F8" s="23">
        <v>4</v>
      </c>
      <c r="G8" s="23">
        <v>260</v>
      </c>
      <c r="H8" s="23">
        <v>14.5</v>
      </c>
    </row>
    <row r="9" spans="2:8" x14ac:dyDescent="0.3">
      <c r="B9" s="21">
        <v>5</v>
      </c>
      <c r="C9" s="21">
        <v>373</v>
      </c>
      <c r="D9" s="21">
        <v>17.5</v>
      </c>
      <c r="F9" s="23">
        <v>5</v>
      </c>
      <c r="G9" s="23">
        <v>360</v>
      </c>
      <c r="H9" s="23">
        <v>15.5</v>
      </c>
    </row>
    <row r="10" spans="2:8" x14ac:dyDescent="0.3">
      <c r="B10" s="21">
        <v>6</v>
      </c>
      <c r="C10" s="21">
        <v>279</v>
      </c>
      <c r="D10" s="21">
        <v>16.5</v>
      </c>
      <c r="F10" s="23">
        <v>6</v>
      </c>
      <c r="G10" s="23">
        <v>329</v>
      </c>
      <c r="H10" s="23">
        <v>15.5</v>
      </c>
    </row>
    <row r="11" spans="2:8" x14ac:dyDescent="0.3">
      <c r="B11" s="21">
        <v>7</v>
      </c>
      <c r="C11" s="21">
        <v>435</v>
      </c>
      <c r="D11" s="21">
        <v>17</v>
      </c>
      <c r="F11" s="23">
        <v>7</v>
      </c>
      <c r="G11" s="23">
        <v>255</v>
      </c>
      <c r="H11" s="23">
        <v>16</v>
      </c>
    </row>
    <row r="12" spans="2:8" x14ac:dyDescent="0.3">
      <c r="B12" s="21">
        <v>8</v>
      </c>
      <c r="C12" s="21">
        <v>436</v>
      </c>
      <c r="D12" s="21">
        <v>20</v>
      </c>
      <c r="F12" s="23">
        <v>8</v>
      </c>
      <c r="G12" s="23">
        <v>249</v>
      </c>
      <c r="H12" s="23">
        <v>13.5</v>
      </c>
    </row>
    <row r="13" spans="2:8" x14ac:dyDescent="0.3">
      <c r="B13" s="21">
        <v>9</v>
      </c>
      <c r="C13" s="21">
        <v>272</v>
      </c>
      <c r="D13" s="21">
        <v>17</v>
      </c>
      <c r="F13" s="23">
        <v>9</v>
      </c>
      <c r="G13" s="23">
        <v>351</v>
      </c>
      <c r="H13" s="23">
        <v>17.5</v>
      </c>
    </row>
    <row r="14" spans="2:8" x14ac:dyDescent="0.3">
      <c r="B14" s="21">
        <v>10</v>
      </c>
      <c r="C14" s="21">
        <v>138</v>
      </c>
      <c r="D14" s="21">
        <v>12</v>
      </c>
      <c r="F14" s="23">
        <v>10</v>
      </c>
      <c r="G14" s="23">
        <v>321</v>
      </c>
      <c r="H14" s="23">
        <v>15</v>
      </c>
    </row>
    <row r="15" spans="2:8" x14ac:dyDescent="0.3">
      <c r="B15" s="21">
        <v>11</v>
      </c>
      <c r="C15" s="21">
        <v>396</v>
      </c>
      <c r="D15" s="21">
        <v>17</v>
      </c>
      <c r="F15" s="1"/>
      <c r="G15" s="1"/>
      <c r="H15" s="1"/>
    </row>
    <row r="16" spans="2:8" x14ac:dyDescent="0.3">
      <c r="B16" s="21">
        <v>12</v>
      </c>
      <c r="C16" s="21">
        <v>357</v>
      </c>
      <c r="D16" s="21">
        <v>18</v>
      </c>
      <c r="F16" s="1"/>
      <c r="G16" s="1"/>
      <c r="H16" s="1"/>
    </row>
    <row r="17" spans="2:16" x14ac:dyDescent="0.3">
      <c r="B17" s="14" t="s">
        <v>142</v>
      </c>
      <c r="C17" s="15">
        <f>AVERAGE(C5:C16)</f>
        <v>331.83333333333331</v>
      </c>
      <c r="D17" s="15">
        <f>AVERAGE(D5:D16)</f>
        <v>16.583333333333332</v>
      </c>
      <c r="F17" s="14" t="s">
        <v>142</v>
      </c>
      <c r="G17" s="15">
        <f>AVERAGE(G5:G14)</f>
        <v>310.8</v>
      </c>
      <c r="H17" s="15">
        <f>AVERAGE(H5:H14)</f>
        <v>15.5</v>
      </c>
    </row>
    <row r="18" spans="2:16" x14ac:dyDescent="0.3">
      <c r="B18" s="14" t="s">
        <v>143</v>
      </c>
      <c r="C18" s="15">
        <f>_xlfn.STDEV.S(C5:C16)</f>
        <v>84.391763205716373</v>
      </c>
      <c r="D18" s="15">
        <f>_xlfn.STDEV.S(D5:D16)</f>
        <v>2.0761999086326073</v>
      </c>
      <c r="F18" s="14" t="s">
        <v>143</v>
      </c>
      <c r="G18" s="15">
        <f>_xlfn.STDEV.S(G5:G14)</f>
        <v>52.874694640568194</v>
      </c>
      <c r="H18" s="15">
        <f>_xlfn.STDEV.S(H5:H14)</f>
        <v>1.1547005383792515</v>
      </c>
    </row>
    <row r="19" spans="2:16" x14ac:dyDescent="0.3">
      <c r="B19" s="1"/>
      <c r="C19" s="1"/>
      <c r="D19" s="1"/>
      <c r="F19" s="1"/>
      <c r="G19" s="1"/>
      <c r="H19" s="1"/>
    </row>
    <row r="23" spans="2:16" x14ac:dyDescent="0.3">
      <c r="B23" s="22" t="s">
        <v>146</v>
      </c>
      <c r="C23" s="10" t="s">
        <v>151</v>
      </c>
    </row>
    <row r="24" spans="2:16" x14ac:dyDescent="0.3">
      <c r="B24" t="s">
        <v>48</v>
      </c>
      <c r="F24" t="s">
        <v>75</v>
      </c>
      <c r="J24" s="1" t="s">
        <v>179</v>
      </c>
      <c r="K24" s="1" t="s">
        <v>182</v>
      </c>
      <c r="L24" s="1" t="s">
        <v>183</v>
      </c>
      <c r="M24" s="1" t="s">
        <v>184</v>
      </c>
      <c r="N24" s="1" t="s">
        <v>185</v>
      </c>
      <c r="O24" s="1" t="s">
        <v>186</v>
      </c>
      <c r="P24" s="1" t="s">
        <v>187</v>
      </c>
    </row>
    <row r="25" spans="2:16" x14ac:dyDescent="0.3">
      <c r="B25" s="1" t="s">
        <v>47</v>
      </c>
      <c r="C25" s="3" t="s">
        <v>2</v>
      </c>
      <c r="D25" s="3" t="s">
        <v>0</v>
      </c>
      <c r="F25" s="1" t="s">
        <v>47</v>
      </c>
      <c r="G25" s="3" t="s">
        <v>2</v>
      </c>
      <c r="H25" s="3" t="s">
        <v>0</v>
      </c>
      <c r="J25" s="25" t="s">
        <v>180</v>
      </c>
      <c r="K25" s="1">
        <v>331.83</v>
      </c>
      <c r="L25" s="1">
        <v>272.3</v>
      </c>
      <c r="M25" s="1"/>
      <c r="N25" s="1"/>
      <c r="O25" s="1"/>
      <c r="P25" s="1"/>
    </row>
    <row r="26" spans="2:16" x14ac:dyDescent="0.3">
      <c r="B26" s="21">
        <v>1</v>
      </c>
      <c r="C26" s="21">
        <v>248</v>
      </c>
      <c r="D26" s="21">
        <v>13.5</v>
      </c>
      <c r="F26" s="23">
        <v>1</v>
      </c>
      <c r="G26" s="23">
        <v>447</v>
      </c>
      <c r="H26" s="23">
        <v>17</v>
      </c>
      <c r="J26" s="25" t="s">
        <v>181</v>
      </c>
      <c r="K26" s="1">
        <v>310.8</v>
      </c>
      <c r="L26" s="1">
        <v>281.64</v>
      </c>
      <c r="M26" s="1"/>
      <c r="N26" s="1"/>
      <c r="O26" s="1"/>
      <c r="P26" s="1"/>
    </row>
    <row r="27" spans="2:16" x14ac:dyDescent="0.3">
      <c r="B27" s="21">
        <v>2</v>
      </c>
      <c r="C27" s="21">
        <v>276</v>
      </c>
      <c r="D27" s="21">
        <v>14</v>
      </c>
      <c r="F27" s="23">
        <v>2</v>
      </c>
      <c r="G27" s="23">
        <v>361</v>
      </c>
      <c r="H27" s="23">
        <v>17.5</v>
      </c>
    </row>
    <row r="28" spans="2:16" x14ac:dyDescent="0.3">
      <c r="B28" s="21">
        <v>3</v>
      </c>
      <c r="C28" s="21">
        <v>260</v>
      </c>
      <c r="D28" s="21">
        <v>14.5</v>
      </c>
      <c r="F28" s="23">
        <v>3</v>
      </c>
      <c r="G28" s="23">
        <v>228</v>
      </c>
      <c r="H28" s="23">
        <v>14</v>
      </c>
    </row>
    <row r="29" spans="2:16" x14ac:dyDescent="0.3">
      <c r="B29" s="21">
        <v>4</v>
      </c>
      <c r="C29" s="21">
        <v>316</v>
      </c>
      <c r="D29" s="21">
        <v>17</v>
      </c>
      <c r="F29" s="23">
        <v>4</v>
      </c>
      <c r="G29" s="23">
        <v>147</v>
      </c>
      <c r="H29" s="23">
        <v>13</v>
      </c>
    </row>
    <row r="30" spans="2:16" x14ac:dyDescent="0.3">
      <c r="B30" s="21">
        <v>5</v>
      </c>
      <c r="C30" s="21">
        <v>123</v>
      </c>
      <c r="D30" s="21">
        <v>11.5</v>
      </c>
      <c r="F30" s="23">
        <v>5</v>
      </c>
      <c r="G30" s="23">
        <v>213</v>
      </c>
      <c r="H30" s="23">
        <v>13.5</v>
      </c>
    </row>
    <row r="31" spans="2:16" x14ac:dyDescent="0.3">
      <c r="B31" s="21">
        <v>6</v>
      </c>
      <c r="C31" s="21">
        <v>262</v>
      </c>
      <c r="D31" s="21">
        <v>14</v>
      </c>
      <c r="F31" s="23">
        <v>6</v>
      </c>
      <c r="G31" s="23">
        <v>349</v>
      </c>
      <c r="H31" s="23">
        <v>18</v>
      </c>
    </row>
    <row r="32" spans="2:16" x14ac:dyDescent="0.3">
      <c r="B32" s="21">
        <v>7</v>
      </c>
      <c r="C32" s="21">
        <v>387</v>
      </c>
      <c r="D32" s="21">
        <v>17</v>
      </c>
      <c r="F32" s="23">
        <v>7</v>
      </c>
      <c r="G32" s="23">
        <v>134</v>
      </c>
      <c r="H32" s="23">
        <v>12.5</v>
      </c>
    </row>
    <row r="33" spans="2:8" x14ac:dyDescent="0.3">
      <c r="B33" s="21">
        <v>8</v>
      </c>
      <c r="C33" s="21">
        <v>403</v>
      </c>
      <c r="D33" s="21">
        <v>17.5</v>
      </c>
      <c r="F33" s="23">
        <v>8</v>
      </c>
      <c r="G33" s="23">
        <v>280</v>
      </c>
      <c r="H33" s="23">
        <v>14.5</v>
      </c>
    </row>
    <row r="34" spans="2:8" x14ac:dyDescent="0.3">
      <c r="B34" s="21">
        <v>9</v>
      </c>
      <c r="C34" s="21">
        <v>306</v>
      </c>
      <c r="D34" s="21">
        <v>17.5</v>
      </c>
      <c r="F34" s="23">
        <v>9</v>
      </c>
      <c r="G34" s="23">
        <v>372</v>
      </c>
      <c r="H34" s="23">
        <v>18</v>
      </c>
    </row>
    <row r="35" spans="2:8" x14ac:dyDescent="0.3">
      <c r="B35" s="21">
        <v>10</v>
      </c>
      <c r="C35" s="21">
        <v>142</v>
      </c>
      <c r="D35" s="21">
        <v>12.5</v>
      </c>
      <c r="F35" s="23">
        <v>10</v>
      </c>
      <c r="G35" s="23">
        <v>112</v>
      </c>
      <c r="H35" s="23">
        <v>10.5</v>
      </c>
    </row>
    <row r="36" spans="2:8" x14ac:dyDescent="0.3">
      <c r="B36" s="14" t="s">
        <v>142</v>
      </c>
      <c r="C36" s="14">
        <f>AVERAGE(C26:C35)</f>
        <v>272.3</v>
      </c>
      <c r="D36" s="14">
        <f>AVERAGE(D26:D35)</f>
        <v>14.9</v>
      </c>
      <c r="F36" s="23">
        <v>11</v>
      </c>
      <c r="G36" s="23">
        <v>402</v>
      </c>
      <c r="H36" s="23">
        <v>18</v>
      </c>
    </row>
    <row r="37" spans="2:8" x14ac:dyDescent="0.3">
      <c r="B37" s="14" t="s">
        <v>143</v>
      </c>
      <c r="C37" s="15">
        <f>_xlfn.STDEV.S(C26:C35)</f>
        <v>90.316788152713997</v>
      </c>
      <c r="D37" s="15">
        <f>_xlfn.STDEV.S(D26:D35)</f>
        <v>2.1959558789334164</v>
      </c>
      <c r="F37" s="23">
        <v>12</v>
      </c>
      <c r="G37" s="23">
        <v>378</v>
      </c>
      <c r="H37" s="23">
        <v>18.5</v>
      </c>
    </row>
    <row r="38" spans="2:8" x14ac:dyDescent="0.3">
      <c r="B38" s="1"/>
      <c r="C38" s="1"/>
      <c r="D38" s="1"/>
      <c r="F38" s="23">
        <v>13</v>
      </c>
      <c r="G38" s="23">
        <v>277</v>
      </c>
      <c r="H38" s="23">
        <v>15</v>
      </c>
    </row>
    <row r="39" spans="2:8" x14ac:dyDescent="0.3">
      <c r="B39" s="1"/>
      <c r="C39" s="1"/>
      <c r="D39" s="1"/>
      <c r="F39" s="23">
        <v>14</v>
      </c>
      <c r="G39" s="23">
        <v>243</v>
      </c>
      <c r="H39" s="23">
        <v>16</v>
      </c>
    </row>
    <row r="40" spans="2:8" x14ac:dyDescent="0.3">
      <c r="B40" s="1"/>
      <c r="C40" s="1"/>
      <c r="D40" s="1"/>
      <c r="F40" s="14" t="s">
        <v>142</v>
      </c>
      <c r="G40" s="15">
        <f>AVERAGE(G26:G39)</f>
        <v>281.64285714285717</v>
      </c>
      <c r="H40" s="15">
        <f>AVERAGE(H26:H39)</f>
        <v>15.428571428571429</v>
      </c>
    </row>
    <row r="41" spans="2:8" x14ac:dyDescent="0.3">
      <c r="F41" s="14" t="s">
        <v>143</v>
      </c>
      <c r="G41" s="15">
        <f>_xlfn.STDEV.S(G26:G39)</f>
        <v>106.67175182475742</v>
      </c>
      <c r="H41" s="15">
        <f>_xlfn.STDEV.S(H26:H39)</f>
        <v>2.5104178541027413</v>
      </c>
    </row>
    <row r="42" spans="2:8" x14ac:dyDescent="0.3">
      <c r="F42" s="1"/>
      <c r="G42" s="1"/>
      <c r="H42" s="1"/>
    </row>
    <row r="47" spans="2:8" x14ac:dyDescent="0.3">
      <c r="B47" s="22" t="s">
        <v>147</v>
      </c>
      <c r="C47" s="10" t="s">
        <v>152</v>
      </c>
    </row>
    <row r="48" spans="2:8" x14ac:dyDescent="0.3">
      <c r="B48" t="s">
        <v>48</v>
      </c>
      <c r="F48" s="46" t="s">
        <v>49</v>
      </c>
      <c r="G48" s="46"/>
    </row>
    <row r="49" spans="2:16" x14ac:dyDescent="0.3">
      <c r="B49" s="1" t="s">
        <v>47</v>
      </c>
      <c r="C49" s="3" t="s">
        <v>45</v>
      </c>
      <c r="D49" s="3" t="s">
        <v>76</v>
      </c>
      <c r="F49" s="1" t="s">
        <v>47</v>
      </c>
      <c r="G49" s="3" t="s">
        <v>2</v>
      </c>
      <c r="H49" s="3" t="s">
        <v>76</v>
      </c>
      <c r="J49" s="1" t="s">
        <v>179</v>
      </c>
      <c r="K49" s="1" t="s">
        <v>182</v>
      </c>
      <c r="L49" s="1" t="s">
        <v>183</v>
      </c>
      <c r="M49" s="1" t="s">
        <v>184</v>
      </c>
      <c r="N49" s="1" t="s">
        <v>185</v>
      </c>
      <c r="O49" s="1" t="s">
        <v>186</v>
      </c>
      <c r="P49" s="1" t="s">
        <v>187</v>
      </c>
    </row>
    <row r="50" spans="2:16" x14ac:dyDescent="0.3">
      <c r="B50" s="21">
        <v>1</v>
      </c>
      <c r="C50" s="21">
        <v>364</v>
      </c>
      <c r="D50" s="21">
        <v>17</v>
      </c>
      <c r="F50" s="23">
        <v>1</v>
      </c>
      <c r="G50" s="23">
        <v>520</v>
      </c>
      <c r="H50" s="23">
        <v>20</v>
      </c>
      <c r="J50" s="25" t="s">
        <v>180</v>
      </c>
      <c r="K50" s="1">
        <v>272.3</v>
      </c>
      <c r="L50" s="1">
        <v>345</v>
      </c>
      <c r="M50" s="1"/>
      <c r="N50" s="1"/>
      <c r="O50" s="1"/>
      <c r="P50" s="1"/>
    </row>
    <row r="51" spans="2:16" x14ac:dyDescent="0.3">
      <c r="B51" s="21">
        <v>2</v>
      </c>
      <c r="C51" s="21">
        <v>288</v>
      </c>
      <c r="D51" s="21">
        <v>16.5</v>
      </c>
      <c r="F51" s="23">
        <v>2</v>
      </c>
      <c r="G51" s="23">
        <v>396</v>
      </c>
      <c r="H51" s="23">
        <v>17.5</v>
      </c>
      <c r="J51" s="25" t="s">
        <v>181</v>
      </c>
      <c r="K51" s="1">
        <v>281.64</v>
      </c>
      <c r="L51" s="1">
        <v>364.6</v>
      </c>
      <c r="M51" s="1"/>
      <c r="N51" s="1"/>
      <c r="O51" s="1"/>
      <c r="P51" s="1"/>
    </row>
    <row r="52" spans="2:16" x14ac:dyDescent="0.3">
      <c r="B52" s="21">
        <v>3</v>
      </c>
      <c r="C52" s="21">
        <v>421</v>
      </c>
      <c r="D52" s="21">
        <v>19.5</v>
      </c>
      <c r="F52" s="23">
        <v>3</v>
      </c>
      <c r="G52" s="23">
        <v>241</v>
      </c>
      <c r="H52" s="23">
        <v>14</v>
      </c>
    </row>
    <row r="53" spans="2:16" x14ac:dyDescent="0.3">
      <c r="B53" s="21">
        <v>4</v>
      </c>
      <c r="C53" s="21">
        <v>307</v>
      </c>
      <c r="D53" s="21">
        <v>16.5</v>
      </c>
      <c r="F53" s="23">
        <v>4</v>
      </c>
      <c r="G53" s="23">
        <v>294</v>
      </c>
      <c r="H53" s="23">
        <v>14</v>
      </c>
    </row>
    <row r="54" spans="2:16" x14ac:dyDescent="0.3">
      <c r="B54" s="14" t="s">
        <v>142</v>
      </c>
      <c r="C54" s="14">
        <f>AVERAGE(C50:C53)</f>
        <v>345</v>
      </c>
      <c r="D54" s="15">
        <f>AVERAGE(D50:D53)</f>
        <v>17.375</v>
      </c>
      <c r="F54" s="23">
        <v>5</v>
      </c>
      <c r="G54" s="23">
        <v>372</v>
      </c>
      <c r="H54" s="23">
        <v>18</v>
      </c>
    </row>
    <row r="55" spans="2:16" x14ac:dyDescent="0.3">
      <c r="B55" s="14" t="s">
        <v>143</v>
      </c>
      <c r="C55" s="15">
        <f>_xlfn.STDEV.S(C50:C53)</f>
        <v>60.083275543199207</v>
      </c>
      <c r="D55" s="15">
        <f>_xlfn.STDEV.S(D50:D53)</f>
        <v>1.4361406616345072</v>
      </c>
      <c r="F55" s="14" t="s">
        <v>142</v>
      </c>
      <c r="G55" s="14">
        <f>AVERAGE(G50:G54)</f>
        <v>364.6</v>
      </c>
      <c r="H55" s="14">
        <f>AVERAGE(H50:H54)</f>
        <v>16.7</v>
      </c>
    </row>
    <row r="56" spans="2:16" x14ac:dyDescent="0.3">
      <c r="F56" s="14" t="s">
        <v>143</v>
      </c>
      <c r="G56" s="15">
        <f>_xlfn.STDEV.S(G50:G54)</f>
        <v>106.59643521244033</v>
      </c>
      <c r="H56" s="15">
        <f>_xlfn.STDEV.S(H50:H54)</f>
        <v>2.6362852652928113</v>
      </c>
    </row>
    <row r="60" spans="2:16" x14ac:dyDescent="0.3">
      <c r="B60" s="22" t="s">
        <v>148</v>
      </c>
      <c r="C60" s="10" t="s">
        <v>153</v>
      </c>
    </row>
    <row r="61" spans="2:16" x14ac:dyDescent="0.3">
      <c r="B61" t="s">
        <v>46</v>
      </c>
      <c r="F61" t="s">
        <v>89</v>
      </c>
    </row>
    <row r="62" spans="2:16" x14ac:dyDescent="0.3">
      <c r="B62" s="1" t="s">
        <v>47</v>
      </c>
      <c r="C62" s="3" t="s">
        <v>2</v>
      </c>
      <c r="D62" s="3" t="s">
        <v>0</v>
      </c>
      <c r="F62" s="1" t="s">
        <v>47</v>
      </c>
      <c r="G62" s="3" t="s">
        <v>2</v>
      </c>
      <c r="H62" s="3" t="s">
        <v>0</v>
      </c>
    </row>
    <row r="63" spans="2:16" x14ac:dyDescent="0.3">
      <c r="B63" s="21">
        <v>1</v>
      </c>
      <c r="C63" s="21">
        <v>369</v>
      </c>
      <c r="D63" s="21">
        <v>18.5</v>
      </c>
      <c r="F63" s="23">
        <v>1</v>
      </c>
      <c r="G63" s="23">
        <v>320</v>
      </c>
      <c r="H63" s="23">
        <v>18</v>
      </c>
      <c r="J63" s="1" t="s">
        <v>179</v>
      </c>
      <c r="K63" s="1" t="s">
        <v>182</v>
      </c>
      <c r="L63" s="1" t="s">
        <v>183</v>
      </c>
      <c r="M63" s="1" t="s">
        <v>184</v>
      </c>
      <c r="N63" s="1" t="s">
        <v>185</v>
      </c>
      <c r="O63" s="1" t="s">
        <v>186</v>
      </c>
      <c r="P63" s="1" t="s">
        <v>187</v>
      </c>
    </row>
    <row r="64" spans="2:16" x14ac:dyDescent="0.3">
      <c r="B64" s="21">
        <v>2</v>
      </c>
      <c r="C64" s="21">
        <v>357</v>
      </c>
      <c r="D64" s="21">
        <v>17</v>
      </c>
      <c r="F64" s="23">
        <v>2</v>
      </c>
      <c r="G64" s="23">
        <v>215</v>
      </c>
      <c r="H64" s="23">
        <v>15.5</v>
      </c>
      <c r="J64" s="25" t="s">
        <v>180</v>
      </c>
      <c r="K64" s="1">
        <v>345</v>
      </c>
      <c r="L64" s="1">
        <v>333.67</v>
      </c>
      <c r="M64" s="1"/>
      <c r="N64" s="1"/>
      <c r="O64" s="1"/>
      <c r="P64" s="1"/>
    </row>
    <row r="65" spans="2:16" x14ac:dyDescent="0.3">
      <c r="B65" s="21">
        <v>3</v>
      </c>
      <c r="C65" s="21">
        <v>346</v>
      </c>
      <c r="D65" s="21">
        <v>17.5</v>
      </c>
      <c r="F65" s="23">
        <v>3</v>
      </c>
      <c r="G65" s="23">
        <v>140</v>
      </c>
      <c r="H65" s="23">
        <v>12</v>
      </c>
      <c r="J65" s="25" t="s">
        <v>181</v>
      </c>
      <c r="K65" s="1">
        <v>364.6</v>
      </c>
      <c r="L65" s="1">
        <v>226.56</v>
      </c>
      <c r="M65" s="1"/>
      <c r="N65" s="1"/>
      <c r="O65" s="1"/>
      <c r="P65" s="1"/>
    </row>
    <row r="66" spans="2:16" x14ac:dyDescent="0.3">
      <c r="B66" s="21">
        <v>4</v>
      </c>
      <c r="C66" s="21">
        <v>182</v>
      </c>
      <c r="D66" s="21">
        <v>12.5</v>
      </c>
      <c r="F66" s="23">
        <v>4</v>
      </c>
      <c r="G66" s="23">
        <v>170</v>
      </c>
      <c r="H66" s="23">
        <v>10</v>
      </c>
    </row>
    <row r="67" spans="2:16" x14ac:dyDescent="0.3">
      <c r="B67" s="21">
        <v>5</v>
      </c>
      <c r="C67" s="21">
        <v>408</v>
      </c>
      <c r="D67" s="21">
        <v>18</v>
      </c>
      <c r="F67" s="23">
        <v>5</v>
      </c>
      <c r="G67" s="23">
        <v>285</v>
      </c>
      <c r="H67" s="23">
        <v>16.5</v>
      </c>
    </row>
    <row r="68" spans="2:16" x14ac:dyDescent="0.3">
      <c r="B68" s="21">
        <v>6</v>
      </c>
      <c r="C68" s="21">
        <v>396</v>
      </c>
      <c r="D68" s="21">
        <v>17.5</v>
      </c>
      <c r="F68" s="23">
        <v>6</v>
      </c>
      <c r="G68" s="23">
        <v>125</v>
      </c>
      <c r="H68" s="23">
        <v>13</v>
      </c>
    </row>
    <row r="69" spans="2:16" x14ac:dyDescent="0.3">
      <c r="B69" s="21">
        <v>7</v>
      </c>
      <c r="C69" s="21">
        <v>287</v>
      </c>
      <c r="D69" s="21">
        <v>18</v>
      </c>
      <c r="F69" s="23">
        <v>7</v>
      </c>
      <c r="G69" s="23">
        <v>251</v>
      </c>
      <c r="H69" s="23">
        <v>16.5</v>
      </c>
    </row>
    <row r="70" spans="2:16" x14ac:dyDescent="0.3">
      <c r="B70" s="21">
        <v>8</v>
      </c>
      <c r="C70" s="21">
        <v>381</v>
      </c>
      <c r="D70" s="21">
        <v>16.5</v>
      </c>
      <c r="F70" s="23">
        <v>8</v>
      </c>
      <c r="G70" s="24">
        <v>165</v>
      </c>
      <c r="H70" s="23">
        <v>14</v>
      </c>
    </row>
    <row r="71" spans="2:16" x14ac:dyDescent="0.3">
      <c r="B71" s="21">
        <v>9</v>
      </c>
      <c r="C71" s="21">
        <v>277</v>
      </c>
      <c r="D71" s="21">
        <v>16</v>
      </c>
      <c r="F71" s="23">
        <v>9</v>
      </c>
      <c r="G71" s="23">
        <v>368</v>
      </c>
      <c r="H71" s="23">
        <v>17.5</v>
      </c>
    </row>
    <row r="72" spans="2:16" x14ac:dyDescent="0.3">
      <c r="B72" s="14" t="s">
        <v>142</v>
      </c>
      <c r="C72" s="15">
        <f>AVERAGE(C63:C71)</f>
        <v>333.66666666666669</v>
      </c>
      <c r="D72" s="15">
        <f>AVERAGE(D63:D71)</f>
        <v>16.833333333333332</v>
      </c>
      <c r="F72" s="14" t="s">
        <v>142</v>
      </c>
      <c r="G72" s="15">
        <f>AVERAGE(G63:G71)</f>
        <v>226.55555555555554</v>
      </c>
      <c r="H72" s="15">
        <f>AVERAGE(H63:H71)</f>
        <v>14.777777777777779</v>
      </c>
    </row>
    <row r="73" spans="2:16" x14ac:dyDescent="0.3">
      <c r="B73" s="14" t="s">
        <v>144</v>
      </c>
      <c r="C73" s="15">
        <f>_xlfn.STDEV.S(C63:C71)</f>
        <v>72.44653200809546</v>
      </c>
      <c r="D73" s="15">
        <f>_xlfn.STDEV.S(D63:D71)</f>
        <v>1.8027756377319946</v>
      </c>
      <c r="F73" s="14" t="s">
        <v>143</v>
      </c>
      <c r="G73" s="15">
        <f>_xlfn.STDEV.S(G63:G71)</f>
        <v>84.910410302728963</v>
      </c>
      <c r="H73" s="15">
        <f>_xlfn.STDEV.S(H63:H71)</f>
        <v>2.7054471801246569</v>
      </c>
    </row>
    <row r="77" spans="2:16" x14ac:dyDescent="0.3">
      <c r="B77" s="22" t="s">
        <v>149</v>
      </c>
      <c r="C77" s="10" t="s">
        <v>154</v>
      </c>
    </row>
    <row r="78" spans="2:16" x14ac:dyDescent="0.3">
      <c r="B78" t="s">
        <v>48</v>
      </c>
      <c r="F78" t="s">
        <v>75</v>
      </c>
    </row>
    <row r="79" spans="2:16" x14ac:dyDescent="0.3">
      <c r="B79" s="1" t="s">
        <v>47</v>
      </c>
      <c r="C79" s="3" t="s">
        <v>2</v>
      </c>
      <c r="D79" s="3" t="s">
        <v>0</v>
      </c>
      <c r="F79" s="1" t="s">
        <v>47</v>
      </c>
      <c r="G79" s="3" t="s">
        <v>2</v>
      </c>
      <c r="H79" s="3" t="s">
        <v>0</v>
      </c>
    </row>
    <row r="80" spans="2:16" x14ac:dyDescent="0.3">
      <c r="B80" s="21">
        <v>1</v>
      </c>
      <c r="C80" s="21">
        <v>354</v>
      </c>
      <c r="D80" s="21">
        <v>15.5</v>
      </c>
      <c r="F80" s="23">
        <v>1</v>
      </c>
      <c r="G80" s="23">
        <v>345</v>
      </c>
      <c r="H80" s="23">
        <v>16</v>
      </c>
      <c r="J80" s="1" t="s">
        <v>179</v>
      </c>
      <c r="K80" s="1" t="s">
        <v>182</v>
      </c>
      <c r="L80" s="1" t="s">
        <v>183</v>
      </c>
      <c r="M80" s="1" t="s">
        <v>184</v>
      </c>
      <c r="N80" s="1" t="s">
        <v>185</v>
      </c>
      <c r="O80" s="1" t="s">
        <v>186</v>
      </c>
      <c r="P80" s="1" t="s">
        <v>187</v>
      </c>
    </row>
    <row r="81" spans="2:16" x14ac:dyDescent="0.3">
      <c r="B81" s="21">
        <v>2</v>
      </c>
      <c r="C81" s="21">
        <v>376</v>
      </c>
      <c r="D81" s="21">
        <v>16.5</v>
      </c>
      <c r="F81" s="23">
        <v>2</v>
      </c>
      <c r="G81" s="23">
        <v>355</v>
      </c>
      <c r="H81" s="23">
        <v>16.5</v>
      </c>
      <c r="J81" s="25" t="s">
        <v>180</v>
      </c>
      <c r="K81" s="1">
        <v>333.67</v>
      </c>
      <c r="L81" s="1">
        <v>408.43</v>
      </c>
      <c r="M81" s="1"/>
      <c r="N81" s="1"/>
      <c r="O81" s="1"/>
      <c r="P81" s="1"/>
    </row>
    <row r="82" spans="2:16" x14ac:dyDescent="0.3">
      <c r="B82" s="21">
        <v>3</v>
      </c>
      <c r="C82" s="21">
        <v>344</v>
      </c>
      <c r="D82" s="21">
        <v>16</v>
      </c>
      <c r="F82" s="23">
        <v>3</v>
      </c>
      <c r="G82" s="23">
        <v>374</v>
      </c>
      <c r="H82" s="23">
        <v>15</v>
      </c>
      <c r="J82" s="25" t="s">
        <v>181</v>
      </c>
      <c r="K82" s="1">
        <v>226.67</v>
      </c>
      <c r="L82" s="1">
        <v>351.25</v>
      </c>
      <c r="M82" s="1"/>
      <c r="N82" s="1"/>
      <c r="O82" s="1"/>
      <c r="P82" s="1"/>
    </row>
    <row r="83" spans="2:16" x14ac:dyDescent="0.3">
      <c r="B83" s="21">
        <v>4</v>
      </c>
      <c r="C83" s="21">
        <v>434</v>
      </c>
      <c r="D83" s="21">
        <v>18</v>
      </c>
      <c r="F83" s="23">
        <v>4</v>
      </c>
      <c r="G83" s="23">
        <v>435</v>
      </c>
      <c r="H83" s="23">
        <v>17.5</v>
      </c>
    </row>
    <row r="84" spans="2:16" x14ac:dyDescent="0.3">
      <c r="B84" s="21">
        <v>5</v>
      </c>
      <c r="C84" s="21">
        <v>574</v>
      </c>
      <c r="D84" s="21">
        <v>19.5</v>
      </c>
      <c r="F84" s="23">
        <v>5</v>
      </c>
      <c r="G84" s="23">
        <v>423</v>
      </c>
      <c r="H84" s="23">
        <v>18</v>
      </c>
    </row>
    <row r="85" spans="2:16" x14ac:dyDescent="0.3">
      <c r="B85" s="21">
        <v>6</v>
      </c>
      <c r="C85" s="21">
        <v>415</v>
      </c>
      <c r="D85" s="21">
        <v>18.5</v>
      </c>
      <c r="F85" s="23">
        <v>6</v>
      </c>
      <c r="G85" s="23">
        <v>365</v>
      </c>
      <c r="H85" s="23">
        <v>16.5</v>
      </c>
    </row>
    <row r="86" spans="2:16" x14ac:dyDescent="0.3">
      <c r="B86" s="21">
        <v>7</v>
      </c>
      <c r="C86" s="21">
        <v>362</v>
      </c>
      <c r="D86" s="21">
        <v>17</v>
      </c>
      <c r="F86" s="23">
        <v>7</v>
      </c>
      <c r="G86" s="23">
        <v>156</v>
      </c>
      <c r="H86" s="23">
        <v>13</v>
      </c>
    </row>
    <row r="87" spans="2:16" x14ac:dyDescent="0.3">
      <c r="B87" s="14" t="s">
        <v>142</v>
      </c>
      <c r="C87" s="15">
        <f>AVERAGE(C80:C86)</f>
        <v>408.42857142857144</v>
      </c>
      <c r="D87" s="15">
        <f>AVERAGE(D80:D86)</f>
        <v>17.285714285714285</v>
      </c>
      <c r="F87" s="23">
        <v>8</v>
      </c>
      <c r="G87" s="23">
        <v>357</v>
      </c>
      <c r="H87" s="23">
        <v>21</v>
      </c>
    </row>
    <row r="88" spans="2:16" x14ac:dyDescent="0.3">
      <c r="B88" s="14" t="s">
        <v>143</v>
      </c>
      <c r="C88" s="15">
        <f>_xlfn.STDEV.S(C80:C86)</f>
        <v>80.033028896110892</v>
      </c>
      <c r="D88" s="15">
        <f>_xlfn.STDEV.S(D80:D86)</f>
        <v>1.4392458342578487</v>
      </c>
      <c r="F88" s="14" t="s">
        <v>142</v>
      </c>
      <c r="G88" s="14">
        <f>AVERAGE(G80:G87)</f>
        <v>351.25</v>
      </c>
      <c r="H88" s="15">
        <f>AVERAGE(H80:H87)</f>
        <v>16.6875</v>
      </c>
    </row>
    <row r="89" spans="2:16" x14ac:dyDescent="0.3">
      <c r="F89" s="14" t="s">
        <v>143</v>
      </c>
      <c r="G89" s="15">
        <f>_xlfn.STDEV.S(G80:G87)</f>
        <v>85.421225197755831</v>
      </c>
      <c r="H89" s="15">
        <f>_xlfn.STDEV.S(H80:H87)</f>
        <v>2.3289712627804455</v>
      </c>
    </row>
  </sheetData>
  <mergeCells count="2">
    <mergeCell ref="F3:G3"/>
    <mergeCell ref="F48:G4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B790-EDBB-49D8-91A5-5A166DAD660F}">
  <dimension ref="B1:Z51"/>
  <sheetViews>
    <sheetView tabSelected="1" topLeftCell="B16" zoomScale="77" zoomScaleNormal="85" workbookViewId="0">
      <selection activeCell="I45" sqref="I45"/>
    </sheetView>
  </sheetViews>
  <sheetFormatPr defaultRowHeight="14.4" x14ac:dyDescent="0.3"/>
  <cols>
    <col min="2" max="2" width="16.33203125" customWidth="1"/>
    <col min="3" max="3" width="15.21875" customWidth="1"/>
    <col min="4" max="4" width="15.77734375" customWidth="1"/>
    <col min="5" max="5" width="16.5546875" customWidth="1"/>
    <col min="6" max="6" width="22.5546875" customWidth="1"/>
    <col min="9" max="9" width="15" customWidth="1"/>
    <col min="10" max="10" width="15.88671875" customWidth="1"/>
    <col min="11" max="11" width="15.21875" customWidth="1"/>
    <col min="12" max="12" width="14.44140625" customWidth="1"/>
    <col min="13" max="13" width="15.21875" customWidth="1"/>
    <col min="16" max="16" width="15.5546875" customWidth="1"/>
    <col min="17" max="17" width="15.88671875" customWidth="1"/>
    <col min="18" max="18" width="15.33203125" customWidth="1"/>
    <col min="19" max="19" width="14.109375" customWidth="1"/>
    <col min="20" max="20" width="15.21875" customWidth="1"/>
    <col min="24" max="24" width="21.77734375" customWidth="1"/>
    <col min="25" max="25" width="20.77734375" customWidth="1"/>
    <col min="26" max="26" width="22.109375" customWidth="1"/>
  </cols>
  <sheetData>
    <row r="1" spans="2:26" x14ac:dyDescent="0.3">
      <c r="B1" t="s">
        <v>7</v>
      </c>
      <c r="I1" t="s">
        <v>158</v>
      </c>
      <c r="P1" t="s">
        <v>159</v>
      </c>
    </row>
    <row r="2" spans="2:26" x14ac:dyDescent="0.3">
      <c r="B2" s="1" t="s">
        <v>114</v>
      </c>
      <c r="C2" s="1" t="s">
        <v>155</v>
      </c>
      <c r="D2" s="1">
        <v>1</v>
      </c>
      <c r="E2" s="1">
        <v>2</v>
      </c>
      <c r="F2" s="1" t="s">
        <v>156</v>
      </c>
      <c r="I2" s="1" t="s">
        <v>157</v>
      </c>
      <c r="J2" s="1" t="s">
        <v>155</v>
      </c>
      <c r="K2" s="1">
        <v>1</v>
      </c>
      <c r="L2" s="1">
        <v>2</v>
      </c>
      <c r="M2" s="1" t="s">
        <v>156</v>
      </c>
      <c r="P2" s="1" t="s">
        <v>114</v>
      </c>
      <c r="Q2" s="1" t="s">
        <v>155</v>
      </c>
      <c r="R2" s="1">
        <v>1</v>
      </c>
      <c r="S2" s="1">
        <v>2</v>
      </c>
      <c r="T2" s="1" t="s">
        <v>156</v>
      </c>
    </row>
    <row r="3" spans="2:26" x14ac:dyDescent="0.3">
      <c r="B3" s="11" t="s">
        <v>30</v>
      </c>
      <c r="C3" s="11">
        <v>20</v>
      </c>
      <c r="D3" s="11">
        <v>21</v>
      </c>
      <c r="E3" s="11"/>
      <c r="F3" s="11">
        <v>30</v>
      </c>
      <c r="I3" s="11" t="s">
        <v>30</v>
      </c>
      <c r="J3" s="11">
        <v>6</v>
      </c>
      <c r="K3" s="11">
        <v>7</v>
      </c>
      <c r="L3" s="11">
        <v>10</v>
      </c>
      <c r="M3" s="11">
        <v>10</v>
      </c>
      <c r="P3" s="11" t="s">
        <v>30</v>
      </c>
      <c r="Q3" s="11">
        <v>25</v>
      </c>
      <c r="R3" s="11">
        <v>26</v>
      </c>
      <c r="S3" s="11"/>
      <c r="T3" s="11">
        <v>33</v>
      </c>
    </row>
    <row r="4" spans="2:26" x14ac:dyDescent="0.3">
      <c r="B4" s="11" t="s">
        <v>31</v>
      </c>
      <c r="C4" s="11">
        <v>12</v>
      </c>
      <c r="D4" s="11"/>
      <c r="E4" s="11"/>
      <c r="F4" s="11">
        <v>22</v>
      </c>
      <c r="I4" s="11" t="s">
        <v>31</v>
      </c>
      <c r="J4" s="11">
        <v>10</v>
      </c>
      <c r="K4" s="11"/>
      <c r="L4" s="11"/>
      <c r="M4" s="11">
        <v>19</v>
      </c>
      <c r="P4" s="11" t="s">
        <v>31</v>
      </c>
      <c r="Q4" s="11">
        <v>21</v>
      </c>
      <c r="R4" s="11"/>
      <c r="S4" s="11"/>
      <c r="T4" s="11">
        <v>27</v>
      </c>
    </row>
    <row r="5" spans="2:26" x14ac:dyDescent="0.3">
      <c r="B5" s="11" t="s">
        <v>32</v>
      </c>
      <c r="C5" s="11">
        <v>16</v>
      </c>
      <c r="D5" s="11"/>
      <c r="E5" s="11">
        <v>20</v>
      </c>
      <c r="F5" s="11">
        <v>20</v>
      </c>
      <c r="I5" s="11" t="s">
        <v>32</v>
      </c>
      <c r="J5" s="11">
        <v>9</v>
      </c>
      <c r="K5" s="11"/>
      <c r="L5" s="11"/>
      <c r="M5" s="11">
        <v>15</v>
      </c>
      <c r="P5" s="11" t="s">
        <v>32</v>
      </c>
      <c r="Q5" s="11">
        <v>13</v>
      </c>
      <c r="R5" s="11"/>
      <c r="S5" s="11"/>
      <c r="T5" s="11">
        <v>22</v>
      </c>
    </row>
    <row r="6" spans="2:26" x14ac:dyDescent="0.3">
      <c r="B6" s="11" t="s">
        <v>33</v>
      </c>
      <c r="C6" s="11">
        <v>36</v>
      </c>
      <c r="D6" s="11">
        <v>37</v>
      </c>
      <c r="E6" s="11"/>
      <c r="F6" s="11">
        <v>45</v>
      </c>
      <c r="I6" s="11" t="s">
        <v>33</v>
      </c>
      <c r="J6" s="11">
        <v>12</v>
      </c>
      <c r="K6" s="11">
        <v>13</v>
      </c>
      <c r="L6" s="11"/>
      <c r="M6" s="11">
        <v>20</v>
      </c>
      <c r="P6" s="11" t="s">
        <v>33</v>
      </c>
      <c r="Q6" s="11">
        <v>13</v>
      </c>
      <c r="R6" s="11"/>
      <c r="S6" s="11"/>
      <c r="T6" s="11">
        <v>23</v>
      </c>
    </row>
    <row r="7" spans="2:26" x14ac:dyDescent="0.3">
      <c r="B7" s="11" t="s">
        <v>34</v>
      </c>
      <c r="C7" s="11">
        <v>11</v>
      </c>
      <c r="D7" s="11"/>
      <c r="E7" s="11"/>
      <c r="F7" s="11">
        <v>16</v>
      </c>
      <c r="I7" s="11" t="s">
        <v>34</v>
      </c>
      <c r="J7" s="11">
        <v>11</v>
      </c>
      <c r="K7" s="11"/>
      <c r="L7" s="11"/>
      <c r="M7" s="11">
        <v>18</v>
      </c>
      <c r="P7" s="11" t="s">
        <v>34</v>
      </c>
      <c r="Q7" s="11">
        <v>19</v>
      </c>
      <c r="R7" s="11">
        <v>20</v>
      </c>
      <c r="S7" s="11">
        <v>24</v>
      </c>
      <c r="T7" s="11">
        <v>26</v>
      </c>
    </row>
    <row r="8" spans="2:26" x14ac:dyDescent="0.3">
      <c r="B8" s="11" t="s">
        <v>35</v>
      </c>
      <c r="C8" s="11">
        <v>20</v>
      </c>
      <c r="D8" s="11"/>
      <c r="E8" s="11"/>
      <c r="F8" s="11">
        <v>28</v>
      </c>
      <c r="I8" s="11" t="s">
        <v>35</v>
      </c>
      <c r="J8" s="11">
        <v>14</v>
      </c>
      <c r="K8" s="11"/>
      <c r="L8" s="11"/>
      <c r="M8" s="11">
        <v>20</v>
      </c>
      <c r="P8" s="11" t="s">
        <v>35</v>
      </c>
      <c r="Q8" s="11">
        <v>13</v>
      </c>
      <c r="R8" s="11"/>
      <c r="S8" s="11"/>
      <c r="T8" s="11">
        <v>23</v>
      </c>
    </row>
    <row r="9" spans="2:26" ht="15.6" x14ac:dyDescent="0.3">
      <c r="B9" s="11" t="s">
        <v>36</v>
      </c>
      <c r="C9" s="11">
        <v>17</v>
      </c>
      <c r="D9" s="11">
        <v>17</v>
      </c>
      <c r="E9" s="11">
        <v>22</v>
      </c>
      <c r="F9" s="11">
        <v>23</v>
      </c>
      <c r="I9" s="11" t="s">
        <v>36</v>
      </c>
      <c r="J9" s="11">
        <v>10</v>
      </c>
      <c r="K9" s="11">
        <v>11</v>
      </c>
      <c r="L9" s="11">
        <v>14</v>
      </c>
      <c r="M9" s="11">
        <v>16</v>
      </c>
      <c r="P9" s="11" t="s">
        <v>36</v>
      </c>
      <c r="Q9" s="11">
        <v>16</v>
      </c>
      <c r="R9" s="11"/>
      <c r="S9" s="11"/>
      <c r="T9" s="11">
        <v>0</v>
      </c>
      <c r="X9" s="27"/>
      <c r="Y9" s="27"/>
      <c r="Z9" s="27"/>
    </row>
    <row r="10" spans="2:26" ht="15.6" x14ac:dyDescent="0.3">
      <c r="B10" s="11" t="s">
        <v>37</v>
      </c>
      <c r="C10" s="11">
        <v>14</v>
      </c>
      <c r="D10" s="11"/>
      <c r="E10" s="11"/>
      <c r="F10" s="11">
        <v>20</v>
      </c>
      <c r="I10" s="11" t="s">
        <v>37</v>
      </c>
      <c r="J10" s="11">
        <v>8</v>
      </c>
      <c r="K10" s="11"/>
      <c r="L10" s="11"/>
      <c r="M10" s="11">
        <v>15</v>
      </c>
      <c r="P10" s="11" t="s">
        <v>37</v>
      </c>
      <c r="Q10" s="11">
        <v>16</v>
      </c>
      <c r="R10" s="11"/>
      <c r="S10" s="11"/>
      <c r="T10" s="11">
        <v>25</v>
      </c>
      <c r="X10" s="27"/>
      <c r="Y10" s="27"/>
      <c r="Z10" s="27"/>
    </row>
    <row r="11" spans="2:26" x14ac:dyDescent="0.3">
      <c r="B11" s="11" t="s">
        <v>38</v>
      </c>
      <c r="C11" s="11">
        <v>26</v>
      </c>
      <c r="D11" s="11"/>
      <c r="E11" s="11">
        <v>30</v>
      </c>
      <c r="F11" s="11">
        <v>33</v>
      </c>
      <c r="I11" s="11" t="s">
        <v>38</v>
      </c>
      <c r="J11" s="11">
        <v>12</v>
      </c>
      <c r="K11" s="11">
        <v>0</v>
      </c>
      <c r="L11" s="11"/>
      <c r="M11" s="11">
        <v>0</v>
      </c>
      <c r="P11" s="11" t="s">
        <v>38</v>
      </c>
      <c r="Q11" s="11">
        <v>12</v>
      </c>
      <c r="R11" s="11"/>
      <c r="S11" s="11">
        <v>19</v>
      </c>
      <c r="T11" s="11">
        <v>22</v>
      </c>
    </row>
    <row r="12" spans="2:26" x14ac:dyDescent="0.3">
      <c r="B12" s="11" t="s">
        <v>39</v>
      </c>
      <c r="C12" s="11">
        <v>18</v>
      </c>
      <c r="D12" s="11">
        <v>0</v>
      </c>
      <c r="E12" s="11"/>
      <c r="F12" s="11">
        <v>0</v>
      </c>
      <c r="I12" s="11" t="s">
        <v>39</v>
      </c>
      <c r="J12" s="11">
        <v>15</v>
      </c>
      <c r="K12" s="11">
        <v>16</v>
      </c>
      <c r="L12" s="11">
        <v>19</v>
      </c>
      <c r="M12" s="11">
        <v>22</v>
      </c>
      <c r="P12" s="11" t="s">
        <v>39</v>
      </c>
      <c r="Q12" s="11">
        <v>28</v>
      </c>
      <c r="R12" s="11">
        <v>29</v>
      </c>
      <c r="S12" s="11">
        <v>32</v>
      </c>
      <c r="T12" s="11">
        <v>37</v>
      </c>
    </row>
    <row r="13" spans="2:26" x14ac:dyDescent="0.3">
      <c r="B13" s="1"/>
      <c r="C13" s="1"/>
      <c r="D13" s="1"/>
      <c r="E13" s="1"/>
      <c r="F13" s="1"/>
      <c r="I13" s="1"/>
      <c r="J13" s="1"/>
      <c r="K13" s="1"/>
      <c r="L13" s="1"/>
      <c r="M13" s="1"/>
      <c r="P13" s="1"/>
      <c r="Q13" s="1"/>
      <c r="R13" s="1"/>
      <c r="S13" s="1"/>
      <c r="T13" s="1"/>
    </row>
    <row r="14" spans="2:26" x14ac:dyDescent="0.3">
      <c r="B14" s="12" t="s">
        <v>8</v>
      </c>
      <c r="C14" s="12">
        <v>14</v>
      </c>
      <c r="D14" s="12">
        <v>14</v>
      </c>
      <c r="E14" s="12"/>
      <c r="F14" s="12">
        <v>20</v>
      </c>
      <c r="I14" s="12" t="s">
        <v>160</v>
      </c>
      <c r="J14" s="12">
        <v>22</v>
      </c>
      <c r="K14" s="12">
        <v>22</v>
      </c>
      <c r="L14" s="12"/>
      <c r="M14" s="12">
        <v>29</v>
      </c>
      <c r="P14" s="12" t="s">
        <v>8</v>
      </c>
      <c r="Q14" s="12">
        <v>5</v>
      </c>
      <c r="R14" s="12">
        <v>6</v>
      </c>
      <c r="S14" s="12">
        <v>8</v>
      </c>
      <c r="T14" s="12">
        <v>10</v>
      </c>
    </row>
    <row r="15" spans="2:26" x14ac:dyDescent="0.3">
      <c r="B15" s="12" t="s">
        <v>9</v>
      </c>
      <c r="C15" s="12">
        <v>9</v>
      </c>
      <c r="D15" s="12"/>
      <c r="E15" s="12">
        <v>14</v>
      </c>
      <c r="F15" s="12">
        <v>18</v>
      </c>
      <c r="I15" s="12" t="s">
        <v>9</v>
      </c>
      <c r="J15" s="12">
        <v>35</v>
      </c>
      <c r="K15" s="12"/>
      <c r="L15" s="12"/>
      <c r="M15" s="12">
        <v>42</v>
      </c>
      <c r="P15" s="12" t="s">
        <v>9</v>
      </c>
      <c r="Q15" s="12">
        <v>31</v>
      </c>
      <c r="R15" s="12"/>
      <c r="S15" s="12"/>
      <c r="T15" s="12">
        <v>0</v>
      </c>
    </row>
    <row r="16" spans="2:26" x14ac:dyDescent="0.3">
      <c r="B16" s="12" t="s">
        <v>10</v>
      </c>
      <c r="C16" s="12">
        <v>24</v>
      </c>
      <c r="D16" s="12"/>
      <c r="E16" s="12"/>
      <c r="F16" s="12">
        <v>34</v>
      </c>
      <c r="I16" s="12" t="s">
        <v>10</v>
      </c>
      <c r="J16" s="12">
        <v>38</v>
      </c>
      <c r="K16" s="12"/>
      <c r="L16" s="12">
        <v>44</v>
      </c>
      <c r="M16" s="12">
        <v>46</v>
      </c>
      <c r="P16" s="12" t="s">
        <v>10</v>
      </c>
      <c r="Q16" s="12">
        <v>13</v>
      </c>
      <c r="R16" s="12"/>
      <c r="S16" s="12"/>
      <c r="T16" s="12">
        <v>19</v>
      </c>
    </row>
    <row r="17" spans="2:20" x14ac:dyDescent="0.3">
      <c r="B17" s="12" t="s">
        <v>11</v>
      </c>
      <c r="C17" s="12">
        <v>29</v>
      </c>
      <c r="D17" s="12">
        <v>30</v>
      </c>
      <c r="E17" s="12">
        <v>34</v>
      </c>
      <c r="F17" s="12">
        <v>35</v>
      </c>
      <c r="I17" s="12" t="s">
        <v>11</v>
      </c>
      <c r="J17" s="12">
        <v>13</v>
      </c>
      <c r="K17" s="12">
        <v>13</v>
      </c>
      <c r="L17" s="12"/>
      <c r="M17" s="12">
        <v>19</v>
      </c>
      <c r="P17" s="12" t="s">
        <v>11</v>
      </c>
      <c r="Q17" s="12">
        <v>13</v>
      </c>
      <c r="R17" s="12">
        <v>14</v>
      </c>
      <c r="S17" s="12"/>
      <c r="T17" s="12">
        <v>22</v>
      </c>
    </row>
    <row r="18" spans="2:20" x14ac:dyDescent="0.3">
      <c r="B18" s="12" t="s">
        <v>12</v>
      </c>
      <c r="C18" s="12">
        <v>13</v>
      </c>
      <c r="D18" s="12"/>
      <c r="E18" s="12"/>
      <c r="F18" s="12">
        <v>17</v>
      </c>
      <c r="I18" s="12" t="s">
        <v>12</v>
      </c>
      <c r="J18" s="12">
        <v>15</v>
      </c>
      <c r="K18" s="12"/>
      <c r="L18" s="12"/>
      <c r="M18" s="12">
        <v>21</v>
      </c>
      <c r="P18" s="12" t="s">
        <v>12</v>
      </c>
      <c r="Q18" s="12">
        <v>33</v>
      </c>
      <c r="R18" s="12"/>
      <c r="S18" s="12"/>
      <c r="T18" s="12">
        <v>44</v>
      </c>
    </row>
    <row r="19" spans="2:20" x14ac:dyDescent="0.3">
      <c r="B19" s="12" t="s">
        <v>13</v>
      </c>
      <c r="C19" s="12">
        <v>22</v>
      </c>
      <c r="D19" s="12"/>
      <c r="E19" s="12"/>
      <c r="F19" s="12">
        <v>32</v>
      </c>
      <c r="I19" s="12" t="s">
        <v>13</v>
      </c>
      <c r="J19" s="12">
        <v>24</v>
      </c>
      <c r="K19" s="12"/>
      <c r="L19" s="12"/>
      <c r="M19" s="12">
        <v>31</v>
      </c>
      <c r="P19" s="12" t="s">
        <v>13</v>
      </c>
      <c r="Q19" s="12">
        <v>31</v>
      </c>
      <c r="R19" s="12"/>
      <c r="S19" s="12">
        <v>36</v>
      </c>
      <c r="T19" s="12">
        <v>39</v>
      </c>
    </row>
    <row r="20" spans="2:20" x14ac:dyDescent="0.3">
      <c r="B20" s="12" t="s">
        <v>14</v>
      </c>
      <c r="C20" s="12">
        <v>21</v>
      </c>
      <c r="D20" s="12">
        <v>22</v>
      </c>
      <c r="E20" s="12"/>
      <c r="F20" s="12">
        <v>28</v>
      </c>
      <c r="I20" s="12" t="s">
        <v>14</v>
      </c>
      <c r="J20" s="12">
        <v>22</v>
      </c>
      <c r="K20" s="12">
        <v>23</v>
      </c>
      <c r="L20" s="12"/>
      <c r="M20" s="12">
        <v>31</v>
      </c>
      <c r="P20" s="12" t="s">
        <v>14</v>
      </c>
      <c r="Q20" s="12">
        <v>34</v>
      </c>
      <c r="R20" s="12"/>
      <c r="S20" s="12"/>
      <c r="T20" s="12">
        <v>43</v>
      </c>
    </row>
    <row r="21" spans="2:20" x14ac:dyDescent="0.3">
      <c r="B21" s="12" t="s">
        <v>15</v>
      </c>
      <c r="C21" s="12">
        <v>13</v>
      </c>
      <c r="D21" s="12"/>
      <c r="E21" s="12"/>
      <c r="F21" s="12">
        <v>22</v>
      </c>
      <c r="I21" s="12" t="s">
        <v>15</v>
      </c>
      <c r="J21" s="12">
        <v>34</v>
      </c>
      <c r="K21" s="12"/>
      <c r="L21" s="12">
        <v>39</v>
      </c>
      <c r="M21" s="12">
        <v>41</v>
      </c>
      <c r="P21" s="12" t="s">
        <v>15</v>
      </c>
      <c r="Q21" s="12">
        <v>21</v>
      </c>
      <c r="R21" s="12">
        <v>23</v>
      </c>
      <c r="S21" s="12"/>
      <c r="T21" s="12">
        <v>31</v>
      </c>
    </row>
    <row r="22" spans="2:20" x14ac:dyDescent="0.3">
      <c r="B22" s="12" t="s">
        <v>16</v>
      </c>
      <c r="C22" s="12">
        <v>15</v>
      </c>
      <c r="D22" s="12">
        <v>16</v>
      </c>
      <c r="E22" s="12">
        <v>18</v>
      </c>
      <c r="F22" s="12">
        <v>22</v>
      </c>
      <c r="I22" s="12" t="s">
        <v>16</v>
      </c>
      <c r="J22" s="12">
        <v>14</v>
      </c>
      <c r="K22" s="12"/>
      <c r="L22" s="12"/>
      <c r="M22" s="12">
        <v>24</v>
      </c>
      <c r="P22" s="12" t="s">
        <v>16</v>
      </c>
      <c r="Q22" s="12">
        <v>16</v>
      </c>
      <c r="R22" s="12"/>
      <c r="S22" s="12"/>
      <c r="T22" s="12">
        <v>24</v>
      </c>
    </row>
    <row r="23" spans="2:20" x14ac:dyDescent="0.3">
      <c r="B23" s="12" t="s">
        <v>17</v>
      </c>
      <c r="C23" s="12">
        <v>9</v>
      </c>
      <c r="D23" s="12"/>
      <c r="E23" s="12"/>
      <c r="F23" s="12">
        <v>0</v>
      </c>
      <c r="I23" s="12" t="s">
        <v>17</v>
      </c>
      <c r="J23" s="12">
        <v>30</v>
      </c>
      <c r="K23" s="12"/>
      <c r="L23" s="12">
        <v>35</v>
      </c>
      <c r="M23" s="12">
        <v>37</v>
      </c>
      <c r="P23" s="12" t="s">
        <v>17</v>
      </c>
      <c r="Q23" s="12">
        <v>5</v>
      </c>
      <c r="R23" s="12">
        <v>6</v>
      </c>
      <c r="S23" s="12">
        <v>7</v>
      </c>
      <c r="T23" s="12">
        <v>10</v>
      </c>
    </row>
    <row r="24" spans="2:20" x14ac:dyDescent="0.3">
      <c r="B24" s="1"/>
      <c r="C24" s="1"/>
      <c r="D24" s="1"/>
      <c r="E24" s="1"/>
      <c r="F24" s="1"/>
      <c r="I24" s="1"/>
      <c r="J24" s="1"/>
      <c r="K24" s="1"/>
      <c r="L24" s="1"/>
      <c r="M24" s="1"/>
      <c r="P24" s="1"/>
      <c r="Q24" s="1"/>
      <c r="R24" s="1"/>
      <c r="S24" s="1"/>
      <c r="T24" s="1"/>
    </row>
    <row r="25" spans="2:20" x14ac:dyDescent="0.3">
      <c r="B25" s="13" t="s">
        <v>18</v>
      </c>
      <c r="C25" s="13">
        <v>24</v>
      </c>
      <c r="D25" s="13">
        <v>25</v>
      </c>
      <c r="E25" s="13">
        <v>29</v>
      </c>
      <c r="F25" s="13">
        <v>32</v>
      </c>
      <c r="I25" s="13" t="s">
        <v>18</v>
      </c>
      <c r="J25" s="13">
        <v>23</v>
      </c>
      <c r="K25" s="13">
        <v>23</v>
      </c>
      <c r="L25" s="13"/>
      <c r="M25" s="13">
        <v>31</v>
      </c>
      <c r="P25" s="13" t="s">
        <v>18</v>
      </c>
      <c r="Q25" s="13">
        <v>25</v>
      </c>
      <c r="R25" s="13">
        <v>26</v>
      </c>
      <c r="S25" s="13">
        <v>29</v>
      </c>
      <c r="T25" s="13">
        <v>32</v>
      </c>
    </row>
    <row r="26" spans="2:20" x14ac:dyDescent="0.3">
      <c r="B26" s="13" t="s">
        <v>19</v>
      </c>
      <c r="C26" s="13">
        <v>16</v>
      </c>
      <c r="D26" s="13"/>
      <c r="E26" s="13"/>
      <c r="F26" s="13">
        <v>26</v>
      </c>
      <c r="I26" s="13" t="s">
        <v>19</v>
      </c>
      <c r="J26" s="13">
        <v>35</v>
      </c>
      <c r="K26" s="13"/>
      <c r="L26" s="13">
        <v>42</v>
      </c>
      <c r="M26" s="13">
        <v>46</v>
      </c>
      <c r="P26" s="13" t="s">
        <v>19</v>
      </c>
      <c r="Q26" s="13">
        <v>5</v>
      </c>
      <c r="R26" s="13"/>
      <c r="S26" s="13"/>
      <c r="T26" s="13">
        <v>0</v>
      </c>
    </row>
    <row r="27" spans="2:20" x14ac:dyDescent="0.3">
      <c r="B27" s="13" t="s">
        <v>20</v>
      </c>
      <c r="C27" s="13">
        <v>24</v>
      </c>
      <c r="D27" s="13"/>
      <c r="E27" s="13"/>
      <c r="F27" s="13">
        <v>29</v>
      </c>
      <c r="I27" s="13" t="s">
        <v>20</v>
      </c>
      <c r="J27" s="13">
        <v>14</v>
      </c>
      <c r="K27" s="13"/>
      <c r="L27" s="13"/>
      <c r="M27" s="13">
        <v>21</v>
      </c>
      <c r="P27" s="13" t="s">
        <v>20</v>
      </c>
      <c r="Q27" s="13">
        <v>16</v>
      </c>
      <c r="R27" s="13"/>
      <c r="S27" s="13"/>
      <c r="T27" s="13">
        <v>0</v>
      </c>
    </row>
    <row r="28" spans="2:20" x14ac:dyDescent="0.3">
      <c r="B28" s="13" t="s">
        <v>21</v>
      </c>
      <c r="C28" s="13">
        <v>23</v>
      </c>
      <c r="D28" s="13">
        <v>23</v>
      </c>
      <c r="E28" s="13"/>
      <c r="F28" s="13">
        <v>31</v>
      </c>
      <c r="I28" s="13" t="s">
        <v>21</v>
      </c>
      <c r="J28" s="13">
        <v>12</v>
      </c>
      <c r="K28" s="13">
        <v>0</v>
      </c>
      <c r="L28" s="13"/>
      <c r="M28" s="13">
        <v>0</v>
      </c>
      <c r="P28" s="13" t="s">
        <v>21</v>
      </c>
      <c r="Q28" s="13">
        <v>10</v>
      </c>
      <c r="R28" s="13">
        <v>11</v>
      </c>
      <c r="S28" s="13"/>
      <c r="T28" s="13">
        <v>17</v>
      </c>
    </row>
    <row r="29" spans="2:20" x14ac:dyDescent="0.3">
      <c r="B29" s="13" t="s">
        <v>22</v>
      </c>
      <c r="C29" s="13">
        <v>8</v>
      </c>
      <c r="D29" s="13"/>
      <c r="E29" s="13">
        <v>12</v>
      </c>
      <c r="F29" s="13">
        <v>12</v>
      </c>
      <c r="I29" s="13" t="s">
        <v>22</v>
      </c>
      <c r="J29" s="13">
        <v>31</v>
      </c>
      <c r="K29" s="13"/>
      <c r="L29" s="13"/>
      <c r="M29" s="13">
        <v>42</v>
      </c>
      <c r="P29" s="13" t="s">
        <v>22</v>
      </c>
      <c r="Q29" s="13">
        <v>24</v>
      </c>
      <c r="R29" s="13"/>
      <c r="S29" s="13">
        <v>0</v>
      </c>
      <c r="T29" s="13">
        <v>0</v>
      </c>
    </row>
    <row r="30" spans="2:20" x14ac:dyDescent="0.3">
      <c r="B30" s="13" t="s">
        <v>23</v>
      </c>
      <c r="C30" s="13">
        <v>12</v>
      </c>
      <c r="D30" s="13"/>
      <c r="E30" s="13"/>
      <c r="F30" s="13">
        <v>21</v>
      </c>
      <c r="I30" s="13" t="s">
        <v>23</v>
      </c>
      <c r="J30" s="13">
        <v>10</v>
      </c>
      <c r="K30" s="13"/>
      <c r="L30" s="13"/>
      <c r="M30" s="13">
        <v>18</v>
      </c>
      <c r="P30" s="13" t="s">
        <v>23</v>
      </c>
      <c r="Q30" s="13">
        <v>9</v>
      </c>
      <c r="R30" s="13"/>
      <c r="S30" s="13"/>
      <c r="T30" s="13">
        <v>13</v>
      </c>
    </row>
    <row r="31" spans="2:20" x14ac:dyDescent="0.3">
      <c r="B31" s="13" t="s">
        <v>24</v>
      </c>
      <c r="C31" s="13">
        <v>18</v>
      </c>
      <c r="D31" s="13">
        <v>19</v>
      </c>
      <c r="E31" s="13"/>
      <c r="F31" s="13">
        <v>24</v>
      </c>
      <c r="I31" s="13" t="s">
        <v>24</v>
      </c>
      <c r="J31" s="13">
        <v>17</v>
      </c>
      <c r="K31" s="13">
        <v>18</v>
      </c>
      <c r="L31" s="13">
        <v>20</v>
      </c>
      <c r="M31" s="13">
        <v>23</v>
      </c>
      <c r="P31" s="13" t="s">
        <v>24</v>
      </c>
      <c r="Q31" s="13">
        <v>15</v>
      </c>
      <c r="R31" s="13">
        <v>16</v>
      </c>
      <c r="S31" s="13"/>
      <c r="T31" s="13">
        <v>22</v>
      </c>
    </row>
    <row r="32" spans="2:20" x14ac:dyDescent="0.3">
      <c r="B32" s="13" t="s">
        <v>25</v>
      </c>
      <c r="C32" s="13">
        <v>10</v>
      </c>
      <c r="D32" s="13"/>
      <c r="E32" s="13"/>
      <c r="F32" s="13">
        <v>16</v>
      </c>
      <c r="I32" s="13" t="s">
        <v>25</v>
      </c>
      <c r="J32" s="13">
        <v>10</v>
      </c>
      <c r="K32" s="13"/>
      <c r="L32" s="13"/>
      <c r="M32" s="13">
        <v>0</v>
      </c>
      <c r="P32" s="13" t="s">
        <v>25</v>
      </c>
      <c r="Q32" s="13">
        <v>16</v>
      </c>
      <c r="R32" s="13"/>
      <c r="S32" s="13"/>
      <c r="T32" s="13">
        <v>24</v>
      </c>
    </row>
    <row r="33" spans="2:20" x14ac:dyDescent="0.3">
      <c r="B33" s="13" t="s">
        <v>26</v>
      </c>
      <c r="C33" s="13">
        <v>7</v>
      </c>
      <c r="D33" s="13"/>
      <c r="E33" s="13">
        <v>0</v>
      </c>
      <c r="F33" s="13">
        <v>0</v>
      </c>
      <c r="I33" s="13" t="s">
        <v>26</v>
      </c>
      <c r="J33" s="13">
        <v>28</v>
      </c>
      <c r="K33" s="13"/>
      <c r="L33" s="13">
        <v>34</v>
      </c>
      <c r="M33" s="13">
        <v>35</v>
      </c>
      <c r="P33" s="13" t="s">
        <v>26</v>
      </c>
      <c r="Q33" s="13">
        <v>5</v>
      </c>
      <c r="R33" s="13"/>
      <c r="S33" s="13"/>
      <c r="T33" s="13">
        <v>10</v>
      </c>
    </row>
    <row r="34" spans="2:20" x14ac:dyDescent="0.3">
      <c r="B34" s="13" t="s">
        <v>27</v>
      </c>
      <c r="C34" s="13">
        <v>8</v>
      </c>
      <c r="D34" s="13">
        <v>9</v>
      </c>
      <c r="E34" s="13"/>
      <c r="F34" s="13">
        <v>15</v>
      </c>
      <c r="I34" s="13" t="s">
        <v>27</v>
      </c>
      <c r="J34" s="13">
        <v>10</v>
      </c>
      <c r="K34" s="13">
        <v>11</v>
      </c>
      <c r="L34" s="13"/>
      <c r="M34" s="13">
        <v>18</v>
      </c>
      <c r="P34" s="13" t="s">
        <v>27</v>
      </c>
      <c r="Q34" s="13">
        <v>10</v>
      </c>
      <c r="R34" s="13">
        <v>11</v>
      </c>
      <c r="S34" s="13">
        <v>17</v>
      </c>
      <c r="T34" s="13">
        <v>20</v>
      </c>
    </row>
    <row r="35" spans="2:20" x14ac:dyDescent="0.3">
      <c r="B35" s="14" t="s">
        <v>142</v>
      </c>
      <c r="C35" s="15">
        <f>AVERAGE(C3:C34)</f>
        <v>16.966666666666665</v>
      </c>
      <c r="D35" s="1"/>
      <c r="E35" s="1"/>
      <c r="F35" s="15">
        <f>AVERAGE(F3:F34)</f>
        <v>22.366666666666667</v>
      </c>
      <c r="I35" s="14" t="s">
        <v>161</v>
      </c>
      <c r="J35" s="15">
        <f>AVERAGE(J3:J34)</f>
        <v>18.133333333333333</v>
      </c>
      <c r="K35" s="1"/>
      <c r="L35" s="1"/>
      <c r="M35" s="15">
        <f>AVERAGE(M3:M34)</f>
        <v>23.666666666666668</v>
      </c>
      <c r="P35" s="14" t="s">
        <v>161</v>
      </c>
      <c r="Q35" s="14">
        <f>AVERAGE(Q3:Q34)</f>
        <v>17.100000000000001</v>
      </c>
      <c r="R35" s="1"/>
      <c r="S35" s="1"/>
      <c r="T35" s="14">
        <f>AVERAGE(T3:T34)</f>
        <v>20.6</v>
      </c>
    </row>
    <row r="36" spans="2:20" x14ac:dyDescent="0.3">
      <c r="B36" s="14" t="s">
        <v>143</v>
      </c>
      <c r="C36" s="15">
        <f>_xlfn.STDEV.S(C3:C34)</f>
        <v>6.9752435791523268</v>
      </c>
      <c r="D36" s="1"/>
      <c r="E36" s="1"/>
      <c r="F36" s="15">
        <f>_xlfn.STDEV.S(F3:F34)</f>
        <v>10.460049888894456</v>
      </c>
      <c r="I36" s="14" t="s">
        <v>143</v>
      </c>
      <c r="J36" s="15">
        <f>_xlfn.STDEV.S(J3:J34)</f>
        <v>9.5293858879939837</v>
      </c>
      <c r="K36" s="1"/>
      <c r="L36" s="1"/>
      <c r="M36" s="15">
        <f>_xlfn.STDEV.S(M3:M34)</f>
        <v>12.766695177183736</v>
      </c>
      <c r="P36" s="14" t="s">
        <v>143</v>
      </c>
      <c r="Q36" s="15">
        <f>_xlfn.STDEV.S(Q3:Q34)</f>
        <v>8.555498332893178</v>
      </c>
      <c r="R36" s="1"/>
      <c r="S36" s="1"/>
      <c r="T36" s="15">
        <f>_xlfn.STDEV.S(T3:T34)</f>
        <v>12.748495516375041</v>
      </c>
    </row>
    <row r="37" spans="2:20" x14ac:dyDescent="0.3">
      <c r="B37" s="14" t="s">
        <v>166</v>
      </c>
      <c r="C37" s="14">
        <f>SUM(C3:C34)</f>
        <v>509</v>
      </c>
      <c r="D37" s="1"/>
      <c r="E37" s="1"/>
      <c r="F37" s="14">
        <f>SUM(F3:F34)</f>
        <v>671</v>
      </c>
      <c r="I37" s="14" t="s">
        <v>166</v>
      </c>
      <c r="J37" s="14">
        <f>SUM(J3:J34)</f>
        <v>544</v>
      </c>
      <c r="K37" s="1"/>
      <c r="L37" s="1"/>
      <c r="M37" s="14">
        <f>SUM(M3:M34)</f>
        <v>710</v>
      </c>
      <c r="P37" s="14" t="s">
        <v>167</v>
      </c>
      <c r="Q37" s="14">
        <f>SUM(Q3:Q34)</f>
        <v>513</v>
      </c>
      <c r="R37" s="1"/>
      <c r="S37" s="1"/>
      <c r="T37" s="14">
        <f>SUM(T3:T34)</f>
        <v>618</v>
      </c>
    </row>
    <row r="38" spans="2:20" x14ac:dyDescent="0.3">
      <c r="B38" s="1"/>
      <c r="C38" s="1"/>
      <c r="D38" s="1"/>
      <c r="E38" s="1"/>
      <c r="F38" s="1"/>
      <c r="I38" s="1"/>
      <c r="J38" s="1"/>
      <c r="K38" s="1"/>
      <c r="L38" s="1"/>
      <c r="M38" s="1"/>
      <c r="P38" s="1"/>
      <c r="Q38" s="1"/>
      <c r="R38" s="1"/>
      <c r="S38" s="1"/>
      <c r="T38" s="1"/>
    </row>
    <row r="39" spans="2:20" x14ac:dyDescent="0.3">
      <c r="B39" s="1"/>
      <c r="C39" s="1"/>
      <c r="D39" s="1"/>
      <c r="E39" s="1"/>
      <c r="F39" s="1"/>
      <c r="I39" s="1"/>
      <c r="J39" s="1"/>
      <c r="K39" s="1"/>
      <c r="L39" s="1"/>
      <c r="M39" s="1"/>
      <c r="P39" s="1"/>
      <c r="Q39" s="1"/>
      <c r="R39" s="1"/>
      <c r="S39" s="1"/>
      <c r="T39" s="1"/>
    </row>
    <row r="42" spans="2:20" ht="21.6" customHeight="1" x14ac:dyDescent="0.7">
      <c r="B42" s="8"/>
    </row>
    <row r="43" spans="2:20" ht="40.200000000000003" customHeight="1" x14ac:dyDescent="0.5">
      <c r="B43" s="29" t="s">
        <v>168</v>
      </c>
      <c r="C43" s="30"/>
      <c r="D43" s="29">
        <v>1566</v>
      </c>
    </row>
    <row r="44" spans="2:20" ht="39.6" customHeight="1" x14ac:dyDescent="0.5">
      <c r="B44" s="29" t="s">
        <v>169</v>
      </c>
      <c r="C44" s="30"/>
      <c r="D44" s="29">
        <v>1999</v>
      </c>
    </row>
    <row r="45" spans="2:20" ht="40.799999999999997" customHeight="1" x14ac:dyDescent="0.5">
      <c r="B45" s="29" t="s">
        <v>170</v>
      </c>
      <c r="C45" s="30"/>
      <c r="D45" s="29" t="s">
        <v>171</v>
      </c>
      <c r="F45" s="28"/>
      <c r="I45" t="s">
        <v>188</v>
      </c>
    </row>
    <row r="46" spans="2:20" ht="40.799999999999997" customHeight="1" x14ac:dyDescent="0.5">
      <c r="B46" s="29" t="s">
        <v>172</v>
      </c>
      <c r="C46" s="30"/>
      <c r="D46" s="30">
        <v>433</v>
      </c>
    </row>
    <row r="47" spans="2:20" ht="37.200000000000003" customHeight="1" x14ac:dyDescent="0.7">
      <c r="B47" s="8"/>
      <c r="L47" s="26"/>
      <c r="M47" s="26"/>
      <c r="N47" s="27"/>
      <c r="O47" s="27"/>
      <c r="P47" s="29"/>
    </row>
    <row r="48" spans="2:20" ht="32.4" customHeight="1" x14ac:dyDescent="0.6">
      <c r="L48" s="26"/>
      <c r="M48" s="26"/>
      <c r="N48" s="26"/>
      <c r="O48" s="26"/>
      <c r="P48" s="29"/>
    </row>
    <row r="49" spans="2:18" ht="39.6" customHeight="1" x14ac:dyDescent="0.6">
      <c r="B49" s="27" t="s">
        <v>173</v>
      </c>
      <c r="C49" s="27" t="s">
        <v>175</v>
      </c>
      <c r="D49" s="27" t="s">
        <v>177</v>
      </c>
      <c r="E49" s="31"/>
      <c r="L49" s="26"/>
      <c r="M49" s="26"/>
      <c r="N49" s="26"/>
      <c r="O49" s="26"/>
      <c r="P49" s="29"/>
      <c r="R49" s="30"/>
    </row>
    <row r="50" spans="2:18" ht="37.799999999999997" customHeight="1" x14ac:dyDescent="0.5">
      <c r="B50" s="27" t="s">
        <v>174</v>
      </c>
      <c r="C50" s="27" t="s">
        <v>176</v>
      </c>
      <c r="D50" s="27" t="s">
        <v>178</v>
      </c>
      <c r="E50" s="31"/>
      <c r="L50" s="29"/>
      <c r="M50" s="29"/>
      <c r="N50" s="29"/>
      <c r="O50" s="29"/>
      <c r="P50" s="29"/>
      <c r="Q50" s="29"/>
      <c r="R50" s="30"/>
    </row>
    <row r="51" spans="2:18" ht="39" customHeight="1" x14ac:dyDescent="0.5">
      <c r="B51" s="32"/>
      <c r="C51" s="32"/>
      <c r="D51" s="27"/>
      <c r="E51" s="31"/>
      <c r="L51" s="29"/>
      <c r="M51" s="29"/>
      <c r="N51" s="29"/>
      <c r="O51" s="29"/>
      <c r="P51" s="29"/>
      <c r="Q51" s="29"/>
      <c r="R51" s="30"/>
    </row>
  </sheetData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121D-28DC-410F-92BA-BB9CC95AB7F5}">
  <dimension ref="B2:Q84"/>
  <sheetViews>
    <sheetView topLeftCell="G15" zoomScale="77" zoomScaleNormal="25" workbookViewId="0">
      <selection activeCell="P41" sqref="P41"/>
    </sheetView>
  </sheetViews>
  <sheetFormatPr defaultRowHeight="14.4" x14ac:dyDescent="0.3"/>
  <cols>
    <col min="2" max="2" width="14.44140625" customWidth="1"/>
    <col min="3" max="3" width="16.6640625" customWidth="1"/>
    <col min="4" max="4" width="18" customWidth="1"/>
    <col min="5" max="6" width="16.33203125" customWidth="1"/>
    <col min="7" max="7" width="16.21875" customWidth="1"/>
    <col min="8" max="8" width="18.21875" customWidth="1"/>
    <col min="11" max="11" width="19" customWidth="1"/>
    <col min="12" max="12" width="17.6640625" customWidth="1"/>
    <col min="13" max="13" width="14.77734375" customWidth="1"/>
    <col min="14" max="14" width="13.88671875" customWidth="1"/>
    <col min="15" max="15" width="13.44140625" customWidth="1"/>
    <col min="16" max="16" width="13" customWidth="1"/>
    <col min="17" max="17" width="13.6640625" customWidth="1"/>
  </cols>
  <sheetData>
    <row r="2" spans="2:8" x14ac:dyDescent="0.3">
      <c r="B2" s="10" t="s">
        <v>162</v>
      </c>
    </row>
    <row r="3" spans="2:8" x14ac:dyDescent="0.3">
      <c r="B3" t="s">
        <v>50</v>
      </c>
    </row>
    <row r="4" spans="2:8" x14ac:dyDescent="0.3"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79</v>
      </c>
      <c r="H4" s="3" t="s">
        <v>56</v>
      </c>
    </row>
    <row r="5" spans="2:8" x14ac:dyDescent="0.3">
      <c r="B5" s="21" t="s">
        <v>59</v>
      </c>
      <c r="C5" s="21">
        <v>8.1300000000000008</v>
      </c>
      <c r="D5" s="21">
        <v>16.579999999999998</v>
      </c>
      <c r="E5" s="21">
        <v>20.74</v>
      </c>
      <c r="F5" s="21">
        <v>27.9</v>
      </c>
      <c r="G5" s="21">
        <v>6.32</v>
      </c>
      <c r="H5" s="21">
        <v>24.4</v>
      </c>
    </row>
    <row r="6" spans="2:8" x14ac:dyDescent="0.3">
      <c r="B6" s="21" t="s">
        <v>60</v>
      </c>
      <c r="C6" s="21">
        <v>8.17</v>
      </c>
      <c r="D6" s="21">
        <v>16.420000000000002</v>
      </c>
      <c r="E6" s="21">
        <v>20.55</v>
      </c>
      <c r="F6" s="21">
        <v>28.4</v>
      </c>
      <c r="G6" s="34">
        <v>5.6959999999999997</v>
      </c>
      <c r="H6" s="21">
        <v>24.3</v>
      </c>
    </row>
    <row r="7" spans="2:8" x14ac:dyDescent="0.3">
      <c r="B7" s="21" t="s">
        <v>61</v>
      </c>
      <c r="C7" s="21">
        <v>8.2799999999999994</v>
      </c>
      <c r="D7" s="21">
        <v>16.54</v>
      </c>
      <c r="E7" s="21">
        <v>20.69</v>
      </c>
      <c r="F7" s="21">
        <v>28.3</v>
      </c>
      <c r="G7" s="21">
        <v>5.69</v>
      </c>
      <c r="H7" s="21">
        <v>24.3</v>
      </c>
    </row>
    <row r="8" spans="2:8" x14ac:dyDescent="0.3">
      <c r="B8" s="11" t="s">
        <v>142</v>
      </c>
      <c r="C8" s="35">
        <f t="shared" ref="C8:H8" si="0">AVERAGE(C5:C7)</f>
        <v>8.1933333333333334</v>
      </c>
      <c r="D8" s="35">
        <f>AVERAGE(D5:D7)</f>
        <v>16.513333333333332</v>
      </c>
      <c r="E8" s="11">
        <f t="shared" si="0"/>
        <v>20.66</v>
      </c>
      <c r="F8" s="11">
        <f t="shared" si="0"/>
        <v>28.2</v>
      </c>
      <c r="G8" s="35">
        <f t="shared" si="0"/>
        <v>5.9020000000000001</v>
      </c>
      <c r="H8" s="35">
        <f t="shared" si="0"/>
        <v>24.333333333333332</v>
      </c>
    </row>
    <row r="9" spans="2:8" x14ac:dyDescent="0.3">
      <c r="B9" s="11" t="s">
        <v>143</v>
      </c>
      <c r="C9" s="35">
        <f t="shared" ref="C9:H9" si="1">_xlfn.STDEV.S(C5:C7)</f>
        <v>7.7674534651539631E-2</v>
      </c>
      <c r="D9" s="35">
        <f t="shared" si="1"/>
        <v>8.3266639978643531E-2</v>
      </c>
      <c r="E9" s="35">
        <f t="shared" si="1"/>
        <v>9.848857801796021E-2</v>
      </c>
      <c r="F9" s="35">
        <f t="shared" si="1"/>
        <v>0.26457513110645947</v>
      </c>
      <c r="G9" s="35">
        <f t="shared" si="1"/>
        <v>0.36201104955512076</v>
      </c>
      <c r="H9" s="35">
        <f t="shared" si="1"/>
        <v>5.7735026918961346E-2</v>
      </c>
    </row>
    <row r="10" spans="2:8" x14ac:dyDescent="0.3">
      <c r="B10" s="21"/>
      <c r="C10" s="34"/>
      <c r="D10" s="34"/>
      <c r="E10" s="34"/>
      <c r="F10" s="34"/>
      <c r="G10" s="34"/>
      <c r="H10" s="34"/>
    </row>
    <row r="11" spans="2:8" x14ac:dyDescent="0.3">
      <c r="B11" s="21" t="s">
        <v>58</v>
      </c>
      <c r="C11" s="21">
        <v>8.11</v>
      </c>
      <c r="D11" s="21">
        <v>16.46</v>
      </c>
      <c r="E11" s="21">
        <v>20.57</v>
      </c>
      <c r="F11" s="21">
        <v>29.3</v>
      </c>
      <c r="G11" s="34">
        <v>4.0640000000000001</v>
      </c>
      <c r="H11" s="21">
        <v>24.2</v>
      </c>
    </row>
    <row r="12" spans="2:8" x14ac:dyDescent="0.3">
      <c r="B12" s="21" t="s">
        <v>62</v>
      </c>
      <c r="C12" s="34">
        <v>8.1999999999999993</v>
      </c>
      <c r="D12" s="21">
        <v>16.47</v>
      </c>
      <c r="E12" s="21">
        <v>20.59</v>
      </c>
      <c r="F12" s="21">
        <v>28.8</v>
      </c>
      <c r="G12" s="21">
        <v>4.4800000000000004</v>
      </c>
      <c r="H12" s="21">
        <v>24.2</v>
      </c>
    </row>
    <row r="13" spans="2:8" x14ac:dyDescent="0.3">
      <c r="B13" s="21" t="s">
        <v>61</v>
      </c>
      <c r="C13" s="21">
        <v>8.15</v>
      </c>
      <c r="D13" s="21">
        <v>16.600000000000001</v>
      </c>
      <c r="E13" s="21">
        <v>20.77</v>
      </c>
      <c r="F13" s="21">
        <v>27.9</v>
      </c>
      <c r="G13" s="34">
        <v>6.1120000000000001</v>
      </c>
      <c r="H13" s="21">
        <v>24.4</v>
      </c>
    </row>
    <row r="14" spans="2:8" x14ac:dyDescent="0.3">
      <c r="B14" s="11" t="s">
        <v>142</v>
      </c>
      <c r="C14" s="35">
        <f t="shared" ref="C14:H14" si="2">AVERAGE(C11:C13)</f>
        <v>8.1533333333333342</v>
      </c>
      <c r="D14" s="11">
        <f t="shared" si="2"/>
        <v>16.510000000000002</v>
      </c>
      <c r="E14" s="35">
        <f t="shared" si="2"/>
        <v>20.643333333333331</v>
      </c>
      <c r="F14" s="35">
        <f t="shared" si="2"/>
        <v>28.666666666666668</v>
      </c>
      <c r="G14" s="35">
        <f t="shared" si="2"/>
        <v>4.8853333333333335</v>
      </c>
      <c r="H14" s="35">
        <f t="shared" si="2"/>
        <v>24.266666666666666</v>
      </c>
    </row>
    <row r="15" spans="2:8" x14ac:dyDescent="0.3">
      <c r="B15" s="11" t="s">
        <v>143</v>
      </c>
      <c r="C15" s="35">
        <f t="shared" ref="C15:H15" si="3">_xlfn.STDEV.S(C11:C13)</f>
        <v>4.5092497528228838E-2</v>
      </c>
      <c r="D15" s="35">
        <f t="shared" si="3"/>
        <v>7.8102496759067386E-2</v>
      </c>
      <c r="E15" s="35">
        <f t="shared" si="3"/>
        <v>0.11015141094572174</v>
      </c>
      <c r="F15" s="35">
        <f t="shared" si="3"/>
        <v>0.70945988845975994</v>
      </c>
      <c r="G15" s="35">
        <f t="shared" si="3"/>
        <v>1.082495881439431</v>
      </c>
      <c r="H15" s="35">
        <f t="shared" si="3"/>
        <v>0.11547005383792475</v>
      </c>
    </row>
    <row r="16" spans="2:8" x14ac:dyDescent="0.3">
      <c r="B16" s="33"/>
      <c r="C16" s="37"/>
      <c r="D16" s="37"/>
      <c r="E16" s="37"/>
      <c r="F16" s="37"/>
      <c r="G16" s="37"/>
      <c r="H16" s="37"/>
    </row>
    <row r="19" spans="2:17" x14ac:dyDescent="0.3">
      <c r="B19" s="10" t="s">
        <v>163</v>
      </c>
    </row>
    <row r="20" spans="2:17" x14ac:dyDescent="0.3">
      <c r="B20" t="s">
        <v>68</v>
      </c>
      <c r="K20" t="s">
        <v>165</v>
      </c>
    </row>
    <row r="21" spans="2:17" x14ac:dyDescent="0.3">
      <c r="B21" s="3" t="s">
        <v>51</v>
      </c>
      <c r="C21" s="3" t="s">
        <v>52</v>
      </c>
      <c r="D21" s="3" t="s">
        <v>53</v>
      </c>
      <c r="E21" s="3" t="s">
        <v>54</v>
      </c>
      <c r="F21" s="3" t="s">
        <v>55</v>
      </c>
      <c r="G21" s="3" t="s">
        <v>77</v>
      </c>
      <c r="H21" s="3" t="s">
        <v>56</v>
      </c>
      <c r="K21" s="3" t="s">
        <v>64</v>
      </c>
      <c r="L21" s="3" t="s">
        <v>80</v>
      </c>
      <c r="M21" s="3" t="s">
        <v>81</v>
      </c>
      <c r="N21" s="3" t="s">
        <v>82</v>
      </c>
      <c r="O21" s="3" t="s">
        <v>83</v>
      </c>
      <c r="P21" s="3" t="s">
        <v>84</v>
      </c>
      <c r="Q21" s="3" t="s">
        <v>85</v>
      </c>
    </row>
    <row r="22" spans="2:17" x14ac:dyDescent="0.3">
      <c r="B22" s="21" t="s">
        <v>67</v>
      </c>
      <c r="C22" s="21">
        <v>8.1999999999999993</v>
      </c>
      <c r="D22" s="21">
        <v>18.170000000000002</v>
      </c>
      <c r="E22" s="21">
        <v>22.94</v>
      </c>
      <c r="F22" s="21">
        <v>26.3</v>
      </c>
      <c r="G22" s="21">
        <v>6.9939999999999998</v>
      </c>
      <c r="H22" s="21">
        <v>26.7</v>
      </c>
      <c r="K22" s="25" t="s">
        <v>70</v>
      </c>
      <c r="L22" s="25">
        <v>63</v>
      </c>
      <c r="M22" s="25">
        <v>94</v>
      </c>
      <c r="N22" s="25">
        <v>19</v>
      </c>
      <c r="O22" s="25">
        <v>53</v>
      </c>
      <c r="P22" s="25">
        <v>23</v>
      </c>
      <c r="Q22" s="25">
        <v>71</v>
      </c>
    </row>
    <row r="23" spans="2:17" x14ac:dyDescent="0.3">
      <c r="B23" s="21" t="s">
        <v>66</v>
      </c>
      <c r="C23" s="21">
        <v>8.24</v>
      </c>
      <c r="D23" s="21">
        <v>18.100000000000001</v>
      </c>
      <c r="E23" s="21">
        <v>22.87</v>
      </c>
      <c r="F23" s="21">
        <v>26.5</v>
      </c>
      <c r="G23" s="21">
        <v>8.1920000000000002</v>
      </c>
      <c r="H23" s="21">
        <v>26.6</v>
      </c>
      <c r="K23" s="25" t="s">
        <v>71</v>
      </c>
      <c r="L23" s="25">
        <v>54</v>
      </c>
      <c r="M23" s="25">
        <v>81</v>
      </c>
      <c r="N23" s="25">
        <v>16</v>
      </c>
      <c r="O23" s="25">
        <v>131</v>
      </c>
      <c r="P23" s="25">
        <v>57</v>
      </c>
      <c r="Q23" s="25">
        <v>176</v>
      </c>
    </row>
    <row r="24" spans="2:17" x14ac:dyDescent="0.3">
      <c r="B24" s="21" t="s">
        <v>65</v>
      </c>
      <c r="C24" s="21">
        <v>8.16</v>
      </c>
      <c r="D24" s="21">
        <v>18.13</v>
      </c>
      <c r="E24" s="21">
        <v>22.9</v>
      </c>
      <c r="F24" s="21">
        <v>26.3</v>
      </c>
      <c r="G24" s="21">
        <v>8.1920000000000002</v>
      </c>
      <c r="H24" s="21">
        <v>26.7</v>
      </c>
      <c r="K24" s="25" t="s">
        <v>72</v>
      </c>
      <c r="L24" s="25">
        <v>55</v>
      </c>
      <c r="M24" s="25">
        <v>83</v>
      </c>
      <c r="N24" s="25">
        <v>17</v>
      </c>
      <c r="O24" s="25">
        <v>9</v>
      </c>
      <c r="P24" s="25">
        <v>4</v>
      </c>
      <c r="Q24" s="25">
        <v>12</v>
      </c>
    </row>
    <row r="25" spans="2:17" x14ac:dyDescent="0.3">
      <c r="B25" s="11" t="s">
        <v>161</v>
      </c>
      <c r="C25" s="35">
        <f t="shared" ref="C25:H25" si="4">AVERAGE(C22:C24)</f>
        <v>8.1999999999999993</v>
      </c>
      <c r="D25" s="35">
        <f t="shared" si="4"/>
        <v>18.133333333333336</v>
      </c>
      <c r="E25" s="35">
        <f t="shared" si="4"/>
        <v>22.903333333333336</v>
      </c>
      <c r="F25" s="35">
        <f t="shared" si="4"/>
        <v>26.366666666666664</v>
      </c>
      <c r="G25" s="35">
        <f t="shared" si="4"/>
        <v>7.7926666666666664</v>
      </c>
      <c r="H25" s="35">
        <f t="shared" si="4"/>
        <v>26.666666666666668</v>
      </c>
      <c r="K25" s="23" t="s">
        <v>161</v>
      </c>
      <c r="L25" s="38">
        <f t="shared" ref="L25:Q25" si="5">AVERAGE(L22:L24)</f>
        <v>57.333333333333336</v>
      </c>
      <c r="M25" s="23">
        <f t="shared" si="5"/>
        <v>86</v>
      </c>
      <c r="N25" s="38">
        <f t="shared" si="5"/>
        <v>17.333333333333332</v>
      </c>
      <c r="O25" s="38">
        <f t="shared" si="5"/>
        <v>64.333333333333329</v>
      </c>
      <c r="P25" s="23">
        <f t="shared" si="5"/>
        <v>28</v>
      </c>
      <c r="Q25" s="38">
        <f t="shared" si="5"/>
        <v>86.333333333333329</v>
      </c>
    </row>
    <row r="26" spans="2:17" x14ac:dyDescent="0.3">
      <c r="B26" s="11" t="s">
        <v>143</v>
      </c>
      <c r="C26" s="11">
        <f t="shared" ref="C26:H26" si="6">_xlfn.STDEV.S(C22:C24)</f>
        <v>4.0000000000000036E-2</v>
      </c>
      <c r="D26" s="35">
        <f t="shared" si="6"/>
        <v>3.5118845842842729E-2</v>
      </c>
      <c r="E26" s="36">
        <f t="shared" si="6"/>
        <v>3.5118845842842729E-2</v>
      </c>
      <c r="F26" s="35">
        <f t="shared" si="6"/>
        <v>0.11547005383792475</v>
      </c>
      <c r="G26" s="35">
        <f t="shared" si="6"/>
        <v>0.69166562248917185</v>
      </c>
      <c r="H26" s="35">
        <f t="shared" si="6"/>
        <v>5.7735026918961346E-2</v>
      </c>
      <c r="K26" s="23" t="s">
        <v>143</v>
      </c>
      <c r="L26" s="38">
        <f t="shared" ref="L26:Q26" si="7">_xlfn.STDEV.S(L22:L24)</f>
        <v>4.932882862316248</v>
      </c>
      <c r="M26" s="23">
        <f t="shared" si="7"/>
        <v>7</v>
      </c>
      <c r="N26" s="38">
        <f t="shared" si="7"/>
        <v>1.5275252316519468</v>
      </c>
      <c r="O26" s="38">
        <f t="shared" si="7"/>
        <v>61.784571968520858</v>
      </c>
      <c r="P26" s="38">
        <f t="shared" si="7"/>
        <v>26.851443164195103</v>
      </c>
      <c r="Q26" s="38">
        <f t="shared" si="7"/>
        <v>83.06824503583384</v>
      </c>
    </row>
    <row r="27" spans="2:17" x14ac:dyDescent="0.3">
      <c r="B27" s="21"/>
      <c r="C27" s="21"/>
      <c r="D27" s="21"/>
      <c r="E27" s="21"/>
      <c r="F27" s="21"/>
      <c r="G27" s="21"/>
      <c r="H27" s="21"/>
      <c r="K27" s="25"/>
      <c r="L27" s="25"/>
      <c r="M27" s="25"/>
      <c r="N27" s="25"/>
      <c r="O27" s="25"/>
      <c r="P27" s="25"/>
      <c r="Q27" s="25"/>
    </row>
    <row r="28" spans="2:17" x14ac:dyDescent="0.3">
      <c r="B28" s="21" t="s">
        <v>74</v>
      </c>
      <c r="C28" s="21">
        <v>8.25</v>
      </c>
      <c r="D28" s="21">
        <v>18.13</v>
      </c>
      <c r="E28" s="21">
        <v>22.91</v>
      </c>
      <c r="F28" s="21">
        <v>26.6</v>
      </c>
      <c r="G28" s="21">
        <v>10.27</v>
      </c>
      <c r="H28" s="21">
        <v>26.7</v>
      </c>
      <c r="K28" s="25" t="s">
        <v>73</v>
      </c>
      <c r="L28" s="25">
        <v>46</v>
      </c>
      <c r="M28" s="25" t="s">
        <v>78</v>
      </c>
      <c r="N28" s="25" t="s">
        <v>78</v>
      </c>
      <c r="O28" s="25">
        <v>113</v>
      </c>
      <c r="P28" s="25">
        <v>49</v>
      </c>
      <c r="Q28" s="25">
        <v>151</v>
      </c>
    </row>
    <row r="29" spans="2:17" x14ac:dyDescent="0.3">
      <c r="B29" s="21" t="s">
        <v>66</v>
      </c>
      <c r="C29" s="21">
        <v>8.2200000000000006</v>
      </c>
      <c r="D29" s="21">
        <v>19.61</v>
      </c>
      <c r="E29" s="21">
        <v>24.97</v>
      </c>
      <c r="F29" s="21">
        <v>26.6</v>
      </c>
      <c r="G29" s="21">
        <v>7.36</v>
      </c>
      <c r="H29" s="21">
        <v>28.8</v>
      </c>
      <c r="K29" s="25" t="s">
        <v>71</v>
      </c>
      <c r="L29" s="25">
        <v>68</v>
      </c>
      <c r="M29" s="25">
        <v>102</v>
      </c>
      <c r="N29" s="25">
        <v>21</v>
      </c>
      <c r="O29" s="25">
        <v>48</v>
      </c>
      <c r="P29" s="25">
        <v>21</v>
      </c>
      <c r="Q29" s="25">
        <v>64</v>
      </c>
    </row>
    <row r="30" spans="2:17" x14ac:dyDescent="0.3">
      <c r="B30" s="21" t="s">
        <v>65</v>
      </c>
      <c r="C30" s="21">
        <v>8.23</v>
      </c>
      <c r="D30" s="21">
        <v>17.989999999999998</v>
      </c>
      <c r="E30" s="21">
        <v>22.7</v>
      </c>
      <c r="F30" s="21">
        <v>26.6</v>
      </c>
      <c r="G30" s="21">
        <v>6.52</v>
      </c>
      <c r="H30" s="21">
        <v>26.5</v>
      </c>
      <c r="K30" s="25" t="s">
        <v>72</v>
      </c>
      <c r="L30" s="25">
        <v>72</v>
      </c>
      <c r="M30" s="25">
        <v>108</v>
      </c>
      <c r="N30" s="25">
        <v>22</v>
      </c>
      <c r="O30" s="25">
        <v>60</v>
      </c>
      <c r="P30" s="25">
        <v>26</v>
      </c>
      <c r="Q30" s="25">
        <v>80</v>
      </c>
    </row>
    <row r="31" spans="2:17" x14ac:dyDescent="0.3">
      <c r="B31" s="11" t="s">
        <v>161</v>
      </c>
      <c r="C31" s="35">
        <f t="shared" ref="C31:H31" si="8">AVERAGE(C28:C30)</f>
        <v>8.2333333333333325</v>
      </c>
      <c r="D31" s="35">
        <f t="shared" si="8"/>
        <v>18.576666666666664</v>
      </c>
      <c r="E31" s="35">
        <f t="shared" si="8"/>
        <v>23.526666666666667</v>
      </c>
      <c r="F31" s="11">
        <f t="shared" si="8"/>
        <v>26.600000000000005</v>
      </c>
      <c r="G31" s="11">
        <f t="shared" si="8"/>
        <v>8.0499999999999989</v>
      </c>
      <c r="H31" s="35">
        <f t="shared" si="8"/>
        <v>27.333333333333332</v>
      </c>
      <c r="K31" s="23" t="s">
        <v>142</v>
      </c>
      <c r="L31" s="23">
        <f>AVERAGE(L28:L30)</f>
        <v>62</v>
      </c>
      <c r="M31" s="23">
        <f>AVERAGE(M29:M30)</f>
        <v>105</v>
      </c>
      <c r="N31" s="23">
        <f>AVERAGE(N29:N30)</f>
        <v>21.5</v>
      </c>
      <c r="O31" s="38">
        <f>AVERAGE(O28:O30)</f>
        <v>73.666666666666671</v>
      </c>
      <c r="P31" s="23">
        <f>AVERAGE(P28:P30)</f>
        <v>32</v>
      </c>
      <c r="Q31" s="38">
        <f>AVERAGE(Q28:Q30)</f>
        <v>98.333333333333329</v>
      </c>
    </row>
    <row r="32" spans="2:17" x14ac:dyDescent="0.3">
      <c r="B32" s="11" t="s">
        <v>143</v>
      </c>
      <c r="C32" s="35">
        <f t="shared" ref="C32:H32" si="9">_xlfn.STDEV.S(C28:C30)</f>
        <v>1.527525231651914E-2</v>
      </c>
      <c r="D32" s="35">
        <f t="shared" si="9"/>
        <v>0.8976264999059097</v>
      </c>
      <c r="E32" s="35">
        <f t="shared" si="9"/>
        <v>1.2543657095653293</v>
      </c>
      <c r="F32" s="39">
        <f t="shared" si="9"/>
        <v>4.3511678576336583E-15</v>
      </c>
      <c r="G32" s="35">
        <f t="shared" si="9"/>
        <v>1.9679176812051857</v>
      </c>
      <c r="H32" s="35">
        <f t="shared" si="9"/>
        <v>1.2741009902410934</v>
      </c>
      <c r="K32" s="23" t="s">
        <v>143</v>
      </c>
      <c r="L32" s="23">
        <f>_xlfn.STDEV.S(L28:L30)</f>
        <v>14</v>
      </c>
      <c r="M32" s="38">
        <f>_xlfn.STDEV.S(M29:M30)</f>
        <v>4.2426406871192848</v>
      </c>
      <c r="N32" s="38">
        <f>_xlfn.STDEV.S(N29:N30)</f>
        <v>0.70710678118654757</v>
      </c>
      <c r="O32" s="38">
        <f>_xlfn.STDEV.S(O28:O30)</f>
        <v>34.588051886935368</v>
      </c>
      <c r="P32" s="38">
        <f>_xlfn.STDEV.S(P28:P30)</f>
        <v>14.933184523068078</v>
      </c>
      <c r="Q32" s="38">
        <f>_xlfn.STDEV.S(Q28:Q30)</f>
        <v>46.306946923040975</v>
      </c>
    </row>
    <row r="33" spans="2:17" x14ac:dyDescent="0.3">
      <c r="B33" s="33"/>
      <c r="C33" s="33"/>
      <c r="D33" s="33"/>
      <c r="E33" s="33"/>
      <c r="F33" s="33"/>
      <c r="G33" s="33"/>
      <c r="H33" s="33"/>
      <c r="K33" s="25"/>
      <c r="L33" s="25"/>
      <c r="M33" s="25"/>
      <c r="N33" s="25"/>
      <c r="O33" s="25"/>
      <c r="P33" s="25"/>
      <c r="Q33" s="25"/>
    </row>
    <row r="36" spans="2:17" x14ac:dyDescent="0.3">
      <c r="B36" s="10" t="s">
        <v>147</v>
      </c>
    </row>
    <row r="37" spans="2:17" x14ac:dyDescent="0.3">
      <c r="B37" t="s">
        <v>68</v>
      </c>
    </row>
    <row r="38" spans="2:17" x14ac:dyDescent="0.3">
      <c r="B38" s="3" t="s">
        <v>51</v>
      </c>
      <c r="C38" s="3" t="s">
        <v>86</v>
      </c>
      <c r="D38" s="3" t="s">
        <v>53</v>
      </c>
      <c r="E38" s="3" t="s">
        <v>87</v>
      </c>
      <c r="F38" s="3" t="s">
        <v>55</v>
      </c>
      <c r="G38" s="3" t="s">
        <v>88</v>
      </c>
      <c r="H38" s="3" t="s">
        <v>56</v>
      </c>
    </row>
    <row r="39" spans="2:17" x14ac:dyDescent="0.3">
      <c r="B39" s="21" t="s">
        <v>67</v>
      </c>
      <c r="C39" s="21">
        <v>8.33</v>
      </c>
      <c r="D39" s="21">
        <v>17.36</v>
      </c>
      <c r="E39" s="21">
        <v>21.83</v>
      </c>
      <c r="F39" s="21">
        <v>25.8</v>
      </c>
      <c r="G39" s="21">
        <v>5.6959999999999997</v>
      </c>
      <c r="H39" s="21">
        <v>25.5</v>
      </c>
    </row>
    <row r="40" spans="2:17" x14ac:dyDescent="0.3">
      <c r="B40" s="21" t="s">
        <v>60</v>
      </c>
      <c r="C40" s="21">
        <v>8.35</v>
      </c>
      <c r="D40" s="21">
        <v>17.28</v>
      </c>
      <c r="E40" s="21">
        <v>21.71</v>
      </c>
      <c r="F40" s="21">
        <v>25.6</v>
      </c>
      <c r="G40" s="21">
        <v>8.1920000000000002</v>
      </c>
      <c r="H40" s="21">
        <v>25.4</v>
      </c>
    </row>
    <row r="41" spans="2:17" x14ac:dyDescent="0.3">
      <c r="B41" s="21" t="s">
        <v>61</v>
      </c>
      <c r="C41" s="21">
        <v>8.3699999999999992</v>
      </c>
      <c r="D41" s="21">
        <v>17.329999999999998</v>
      </c>
      <c r="E41" s="21">
        <v>21.78</v>
      </c>
      <c r="F41" s="21">
        <v>25.6</v>
      </c>
      <c r="G41" s="21">
        <v>7.36</v>
      </c>
      <c r="H41" s="21">
        <v>25.5</v>
      </c>
    </row>
    <row r="42" spans="2:17" x14ac:dyDescent="0.3">
      <c r="B42" s="23" t="s">
        <v>161</v>
      </c>
      <c r="C42" s="23">
        <f t="shared" ref="C42:H42" si="10">AVERAGE(C39:C41)</f>
        <v>8.35</v>
      </c>
      <c r="D42" s="38">
        <f t="shared" si="10"/>
        <v>17.323333333333334</v>
      </c>
      <c r="E42" s="38">
        <f t="shared" si="10"/>
        <v>21.77333333333333</v>
      </c>
      <c r="F42" s="38">
        <f t="shared" si="10"/>
        <v>25.666666666666668</v>
      </c>
      <c r="G42" s="38">
        <f t="shared" si="10"/>
        <v>7.0826666666666673</v>
      </c>
      <c r="H42" s="38">
        <f t="shared" si="10"/>
        <v>25.466666666666669</v>
      </c>
    </row>
    <row r="43" spans="2:17" x14ac:dyDescent="0.3">
      <c r="B43" s="23" t="s">
        <v>143</v>
      </c>
      <c r="C43" s="23">
        <f t="shared" ref="C43:H43" si="11">_xlfn.STDEV.S(C39:C41)</f>
        <v>1.9999999999999574E-2</v>
      </c>
      <c r="D43" s="38">
        <f t="shared" si="11"/>
        <v>4.0414518843272795E-2</v>
      </c>
      <c r="E43" s="38">
        <f t="shared" si="11"/>
        <v>6.0277137733415892E-2</v>
      </c>
      <c r="F43" s="38">
        <f t="shared" si="11"/>
        <v>0.11547005383792475</v>
      </c>
      <c r="G43" s="38">
        <f t="shared" si="11"/>
        <v>1.2709009927344141</v>
      </c>
      <c r="H43" s="38">
        <f t="shared" si="11"/>
        <v>5.77350269189634E-2</v>
      </c>
    </row>
    <row r="44" spans="2:17" x14ac:dyDescent="0.3">
      <c r="B44" s="21"/>
      <c r="C44" s="21"/>
      <c r="D44" s="21"/>
      <c r="E44" s="21"/>
      <c r="F44" s="21"/>
      <c r="G44" s="21"/>
      <c r="H44" s="21"/>
    </row>
    <row r="45" spans="2:17" x14ac:dyDescent="0.3">
      <c r="B45" s="21" t="s">
        <v>74</v>
      </c>
      <c r="C45" s="21">
        <v>8.36</v>
      </c>
      <c r="D45" s="21">
        <v>17.309999999999999</v>
      </c>
      <c r="E45" s="21">
        <v>21.74</v>
      </c>
      <c r="F45" s="21">
        <v>25.9</v>
      </c>
      <c r="G45" s="21">
        <v>6.944</v>
      </c>
      <c r="H45" s="21">
        <v>25.5</v>
      </c>
    </row>
    <row r="46" spans="2:17" x14ac:dyDescent="0.3">
      <c r="B46" s="21" t="s">
        <v>60</v>
      </c>
      <c r="C46" s="21">
        <v>8.3800000000000008</v>
      </c>
      <c r="D46" s="21">
        <v>17.32</v>
      </c>
      <c r="E46" s="21">
        <v>21.77</v>
      </c>
      <c r="F46" s="21">
        <v>25.9</v>
      </c>
      <c r="G46" s="21">
        <v>7.36</v>
      </c>
      <c r="H46" s="21">
        <v>25.5</v>
      </c>
    </row>
    <row r="47" spans="2:17" x14ac:dyDescent="0.3">
      <c r="B47" s="21" t="s">
        <v>61</v>
      </c>
      <c r="C47" s="21">
        <v>8.3699999999999992</v>
      </c>
      <c r="D47" s="21">
        <v>17.309999999999999</v>
      </c>
      <c r="E47" s="21">
        <v>21.76</v>
      </c>
      <c r="F47" s="21">
        <v>25.9</v>
      </c>
      <c r="G47" s="21">
        <v>8.6080000000000005</v>
      </c>
      <c r="H47" s="21">
        <v>25.4</v>
      </c>
    </row>
    <row r="48" spans="2:17" x14ac:dyDescent="0.3">
      <c r="B48" s="23" t="s">
        <v>161</v>
      </c>
      <c r="C48" s="23">
        <f t="shared" ref="C48:H48" si="12">AVERAGE(C45:C47)</f>
        <v>8.3699999999999992</v>
      </c>
      <c r="D48" s="38">
        <f t="shared" si="12"/>
        <v>17.313333333333333</v>
      </c>
      <c r="E48" s="38">
        <f t="shared" si="12"/>
        <v>21.756666666666664</v>
      </c>
      <c r="F48" s="23">
        <f t="shared" si="12"/>
        <v>25.899999999999995</v>
      </c>
      <c r="G48" s="38">
        <f t="shared" si="12"/>
        <v>7.6373333333333333</v>
      </c>
      <c r="H48" s="38">
        <f t="shared" si="12"/>
        <v>25.466666666666669</v>
      </c>
    </row>
    <row r="49" spans="2:8" x14ac:dyDescent="0.3">
      <c r="B49" s="23" t="s">
        <v>143</v>
      </c>
      <c r="C49" s="23">
        <f t="shared" ref="C49:H49" si="13">_xlfn.STDEV.S(C45:C47)</f>
        <v>1.0000000000000675E-2</v>
      </c>
      <c r="D49" s="38">
        <f t="shared" si="13"/>
        <v>5.77350269189716E-3</v>
      </c>
      <c r="E49" s="38">
        <f t="shared" si="13"/>
        <v>1.5275252316520303E-2</v>
      </c>
      <c r="F49" s="41">
        <f t="shared" si="13"/>
        <v>4.3511678576336583E-15</v>
      </c>
      <c r="G49" s="38">
        <f t="shared" si="13"/>
        <v>0.8659730557779115</v>
      </c>
      <c r="H49" s="38">
        <f t="shared" si="13"/>
        <v>5.77350269189634E-2</v>
      </c>
    </row>
    <row r="50" spans="2:8" x14ac:dyDescent="0.3">
      <c r="B50" s="21"/>
      <c r="C50" s="21"/>
      <c r="D50" s="21"/>
      <c r="E50" s="21"/>
      <c r="F50" s="21"/>
      <c r="G50" s="21"/>
      <c r="H50" s="21"/>
    </row>
    <row r="53" spans="2:8" x14ac:dyDescent="0.3">
      <c r="B53" s="10" t="s">
        <v>148</v>
      </c>
    </row>
    <row r="54" spans="2:8" x14ac:dyDescent="0.3">
      <c r="B54" t="s">
        <v>50</v>
      </c>
    </row>
    <row r="55" spans="2:8" x14ac:dyDescent="0.3">
      <c r="B55" s="3" t="s">
        <v>51</v>
      </c>
      <c r="C55" s="3" t="s">
        <v>52</v>
      </c>
      <c r="D55" s="3" t="s">
        <v>53</v>
      </c>
      <c r="E55" s="3" t="s">
        <v>54</v>
      </c>
      <c r="F55" s="3" t="s">
        <v>55</v>
      </c>
      <c r="G55" s="3" t="s">
        <v>79</v>
      </c>
      <c r="H55" s="3" t="s">
        <v>56</v>
      </c>
    </row>
    <row r="56" spans="2:8" x14ac:dyDescent="0.3">
      <c r="B56" s="21" t="s">
        <v>59</v>
      </c>
      <c r="C56" s="21">
        <v>8.1199999999999992</v>
      </c>
      <c r="D56" s="21">
        <v>16.489999999999998</v>
      </c>
      <c r="E56" s="21">
        <v>20.76</v>
      </c>
      <c r="F56" s="21">
        <v>28.3</v>
      </c>
      <c r="G56" s="21">
        <v>5.6959999999999997</v>
      </c>
      <c r="H56" s="21">
        <v>23.9</v>
      </c>
    </row>
    <row r="57" spans="2:8" x14ac:dyDescent="0.3">
      <c r="B57" s="21" t="s">
        <v>60</v>
      </c>
      <c r="C57" s="21">
        <v>8.11</v>
      </c>
      <c r="D57" s="21">
        <v>16.7</v>
      </c>
      <c r="E57" s="21">
        <v>20.98</v>
      </c>
      <c r="F57" s="21">
        <v>28.2</v>
      </c>
      <c r="G57" s="21">
        <v>8.4689999999999994</v>
      </c>
      <c r="H57" s="21">
        <v>24.5</v>
      </c>
    </row>
    <row r="58" spans="2:8" x14ac:dyDescent="0.3">
      <c r="B58" s="21" t="s">
        <v>61</v>
      </c>
      <c r="C58" s="21">
        <v>8.14</v>
      </c>
      <c r="D58" s="21">
        <v>16.79</v>
      </c>
      <c r="E58" s="21">
        <v>21.07</v>
      </c>
      <c r="F58" s="21">
        <v>28.2</v>
      </c>
      <c r="G58" s="21">
        <v>7.4980000000000002</v>
      </c>
      <c r="H58" s="21">
        <v>24.6</v>
      </c>
    </row>
    <row r="59" spans="2:8" x14ac:dyDescent="0.3">
      <c r="B59" s="16" t="s">
        <v>161</v>
      </c>
      <c r="C59" s="40">
        <f t="shared" ref="C59:H59" si="14">AVERAGE(C56:C58)</f>
        <v>8.1233333333333331</v>
      </c>
      <c r="D59" s="16">
        <f t="shared" si="14"/>
        <v>16.66</v>
      </c>
      <c r="E59" s="40">
        <f t="shared" si="14"/>
        <v>20.936666666666667</v>
      </c>
      <c r="F59" s="40">
        <f t="shared" si="14"/>
        <v>28.233333333333334</v>
      </c>
      <c r="G59" s="40">
        <f t="shared" si="14"/>
        <v>7.2210000000000001</v>
      </c>
      <c r="H59" s="40">
        <f t="shared" si="14"/>
        <v>24.333333333333332</v>
      </c>
    </row>
    <row r="60" spans="2:8" x14ac:dyDescent="0.3">
      <c r="B60" s="16" t="s">
        <v>143</v>
      </c>
      <c r="C60" s="40">
        <f t="shared" ref="C60:H60" si="15">_xlfn.STDEV.S(C56:C58)</f>
        <v>1.527525231652011E-2</v>
      </c>
      <c r="D60" s="40">
        <f t="shared" si="15"/>
        <v>0.15394804318340694</v>
      </c>
      <c r="E60" s="40">
        <f t="shared" si="15"/>
        <v>0.15947831618540845</v>
      </c>
      <c r="F60" s="40">
        <f t="shared" si="15"/>
        <v>5.77350269189634E-2</v>
      </c>
      <c r="G60" s="40">
        <f t="shared" si="15"/>
        <v>1.407099498969417</v>
      </c>
      <c r="H60" s="40">
        <f t="shared" si="15"/>
        <v>0.37859388972001956</v>
      </c>
    </row>
    <row r="61" spans="2:8" x14ac:dyDescent="0.3">
      <c r="B61" s="21"/>
      <c r="C61" s="21"/>
      <c r="D61" s="21"/>
      <c r="E61" s="21"/>
      <c r="F61" s="21"/>
      <c r="G61" s="21"/>
      <c r="H61" s="21"/>
    </row>
    <row r="62" spans="2:8" x14ac:dyDescent="0.3">
      <c r="B62" s="21" t="s">
        <v>58</v>
      </c>
      <c r="C62" s="21">
        <v>8.17</v>
      </c>
      <c r="D62" s="21">
        <v>16.88</v>
      </c>
      <c r="E62" s="21">
        <v>21.2</v>
      </c>
      <c r="F62" s="21">
        <v>28.1</v>
      </c>
      <c r="G62" s="21">
        <v>7.08</v>
      </c>
      <c r="H62" s="21">
        <v>24.8</v>
      </c>
    </row>
    <row r="63" spans="2:8" x14ac:dyDescent="0.3">
      <c r="B63" s="21" t="s">
        <v>62</v>
      </c>
      <c r="C63" s="21">
        <v>8.2100000000000009</v>
      </c>
      <c r="D63" s="21">
        <v>16.98</v>
      </c>
      <c r="E63" s="21">
        <v>21.33</v>
      </c>
      <c r="F63" s="21">
        <v>28.1</v>
      </c>
      <c r="G63" s="21">
        <v>7.36</v>
      </c>
      <c r="H63" s="21">
        <v>25</v>
      </c>
    </row>
    <row r="64" spans="2:8" x14ac:dyDescent="0.3">
      <c r="B64" s="21" t="s">
        <v>61</v>
      </c>
      <c r="C64" s="21">
        <v>8.3000000000000007</v>
      </c>
      <c r="D64" s="21">
        <v>17.12</v>
      </c>
      <c r="E64" s="21">
        <v>21.5</v>
      </c>
      <c r="F64" s="21">
        <v>28.1</v>
      </c>
      <c r="G64" s="21">
        <v>8.6080000000000005</v>
      </c>
      <c r="H64" s="21">
        <v>25.2</v>
      </c>
    </row>
    <row r="65" spans="2:17" x14ac:dyDescent="0.3">
      <c r="B65" s="16" t="s">
        <v>161</v>
      </c>
      <c r="C65" s="40">
        <f t="shared" ref="C65:H65" si="16">AVERAGE(C62:C64)</f>
        <v>8.2266666666666683</v>
      </c>
      <c r="D65" s="40">
        <f t="shared" si="16"/>
        <v>16.993333333333336</v>
      </c>
      <c r="E65" s="40">
        <f t="shared" si="16"/>
        <v>21.343333333333334</v>
      </c>
      <c r="F65" s="16">
        <f t="shared" si="16"/>
        <v>28.100000000000005</v>
      </c>
      <c r="G65" s="40">
        <f t="shared" si="16"/>
        <v>7.682666666666667</v>
      </c>
      <c r="H65" s="16">
        <f t="shared" si="16"/>
        <v>25</v>
      </c>
    </row>
    <row r="66" spans="2:17" x14ac:dyDescent="0.3">
      <c r="B66" s="16" t="s">
        <v>143</v>
      </c>
      <c r="C66" s="40">
        <f t="shared" ref="C66:H66" si="17">_xlfn.STDEV.S(C62:C64)</f>
        <v>6.6583281184794244E-2</v>
      </c>
      <c r="D66" s="40">
        <f t="shared" si="17"/>
        <v>0.12055427546683513</v>
      </c>
      <c r="E66" s="40">
        <f t="shared" si="17"/>
        <v>0.15044378795195718</v>
      </c>
      <c r="F66" s="39">
        <f t="shared" si="17"/>
        <v>4.3511678576336583E-15</v>
      </c>
      <c r="G66" s="40">
        <f t="shared" si="17"/>
        <v>0.8134994365906677</v>
      </c>
      <c r="H66" s="16">
        <f t="shared" si="17"/>
        <v>0.19999999999999929</v>
      </c>
    </row>
    <row r="67" spans="2:17" x14ac:dyDescent="0.3">
      <c r="B67" s="21"/>
      <c r="C67" s="21"/>
      <c r="D67" s="21"/>
      <c r="E67" s="21"/>
      <c r="F67" s="21"/>
      <c r="G67" s="21"/>
      <c r="H67" s="21"/>
    </row>
    <row r="70" spans="2:17" x14ac:dyDescent="0.3">
      <c r="B70" s="10" t="s">
        <v>164</v>
      </c>
    </row>
    <row r="71" spans="2:17" x14ac:dyDescent="0.3">
      <c r="B71" t="s">
        <v>68</v>
      </c>
      <c r="K71" t="s">
        <v>165</v>
      </c>
    </row>
    <row r="72" spans="2:17" x14ac:dyDescent="0.3">
      <c r="B72" s="3" t="s">
        <v>51</v>
      </c>
      <c r="C72" s="3" t="s">
        <v>86</v>
      </c>
      <c r="D72" s="3" t="s">
        <v>53</v>
      </c>
      <c r="E72" s="3" t="s">
        <v>87</v>
      </c>
      <c r="F72" s="3" t="s">
        <v>55</v>
      </c>
      <c r="G72" s="3" t="s">
        <v>88</v>
      </c>
      <c r="H72" s="3" t="s">
        <v>56</v>
      </c>
      <c r="K72" s="3" t="s">
        <v>64</v>
      </c>
      <c r="L72" s="3" t="s">
        <v>80</v>
      </c>
      <c r="M72" s="3" t="s">
        <v>81</v>
      </c>
      <c r="N72" s="3" t="s">
        <v>82</v>
      </c>
      <c r="O72" s="3" t="s">
        <v>83</v>
      </c>
      <c r="P72" s="3" t="s">
        <v>84</v>
      </c>
      <c r="Q72" s="3" t="s">
        <v>85</v>
      </c>
    </row>
    <row r="73" spans="2:17" x14ac:dyDescent="0.3">
      <c r="B73" s="21" t="s">
        <v>67</v>
      </c>
      <c r="C73" s="21">
        <v>8.18</v>
      </c>
      <c r="D73" s="21">
        <v>15.8</v>
      </c>
      <c r="E73" s="21">
        <v>19.690000000000001</v>
      </c>
      <c r="F73" s="21">
        <v>28</v>
      </c>
      <c r="G73" s="21">
        <v>7.36</v>
      </c>
      <c r="H73" s="21">
        <v>23.2</v>
      </c>
      <c r="K73" s="25" t="s">
        <v>70</v>
      </c>
      <c r="L73" s="25">
        <v>48</v>
      </c>
      <c r="M73" s="25">
        <v>72</v>
      </c>
      <c r="N73" s="25">
        <v>15</v>
      </c>
      <c r="O73" s="25">
        <v>47</v>
      </c>
      <c r="P73" s="25">
        <v>21</v>
      </c>
      <c r="Q73" s="25">
        <v>63</v>
      </c>
    </row>
    <row r="74" spans="2:17" x14ac:dyDescent="0.3">
      <c r="B74" s="21" t="s">
        <v>60</v>
      </c>
      <c r="C74" s="21">
        <v>8.24</v>
      </c>
      <c r="D74" s="21">
        <v>21.2</v>
      </c>
      <c r="E74" s="21">
        <v>27.23</v>
      </c>
      <c r="F74" s="21">
        <v>28.2</v>
      </c>
      <c r="G74" s="21">
        <v>5.69</v>
      </c>
      <c r="H74" s="21">
        <v>31.2</v>
      </c>
      <c r="K74" s="25" t="s">
        <v>71</v>
      </c>
      <c r="L74" s="25">
        <v>50</v>
      </c>
      <c r="M74" s="25">
        <v>76</v>
      </c>
      <c r="N74" s="25">
        <v>15</v>
      </c>
      <c r="O74" s="25">
        <v>155</v>
      </c>
      <c r="P74" s="25">
        <v>68</v>
      </c>
      <c r="Q74" s="25">
        <v>207</v>
      </c>
    </row>
    <row r="75" spans="2:17" x14ac:dyDescent="0.3">
      <c r="B75" s="21" t="s">
        <v>61</v>
      </c>
      <c r="C75" s="21">
        <v>8.23</v>
      </c>
      <c r="D75" s="21">
        <v>17.54</v>
      </c>
      <c r="E75" s="21">
        <v>22.07</v>
      </c>
      <c r="F75" s="21">
        <v>28.1</v>
      </c>
      <c r="G75" s="21">
        <v>6.1120000000000001</v>
      </c>
      <c r="H75" s="21">
        <v>25.8</v>
      </c>
      <c r="K75" s="25" t="s">
        <v>72</v>
      </c>
      <c r="L75" s="25">
        <v>51</v>
      </c>
      <c r="M75" s="25">
        <v>74</v>
      </c>
      <c r="N75" s="25">
        <v>15</v>
      </c>
      <c r="O75" s="25">
        <v>84</v>
      </c>
      <c r="P75" s="25">
        <v>37</v>
      </c>
      <c r="Q75" s="25">
        <v>112</v>
      </c>
    </row>
    <row r="76" spans="2:17" x14ac:dyDescent="0.3">
      <c r="B76" s="23" t="s">
        <v>161</v>
      </c>
      <c r="C76" s="38">
        <f t="shared" ref="C76:H76" si="18">AVERAGE(C73:C75)</f>
        <v>8.2166666666666668</v>
      </c>
      <c r="D76" s="23">
        <f t="shared" si="18"/>
        <v>18.18</v>
      </c>
      <c r="E76" s="38">
        <f t="shared" si="18"/>
        <v>22.99666666666667</v>
      </c>
      <c r="F76" s="23">
        <f t="shared" si="18"/>
        <v>28.100000000000005</v>
      </c>
      <c r="G76" s="38">
        <f t="shared" si="18"/>
        <v>6.3873333333333333</v>
      </c>
      <c r="H76" s="38">
        <f t="shared" si="18"/>
        <v>26.733333333333334</v>
      </c>
      <c r="K76" s="23" t="s">
        <v>142</v>
      </c>
      <c r="L76" s="38">
        <f t="shared" ref="L76:Q76" si="19">AVERAGE(L73:L75)</f>
        <v>49.666666666666664</v>
      </c>
      <c r="M76" s="23">
        <f t="shared" si="19"/>
        <v>74</v>
      </c>
      <c r="N76" s="23">
        <f t="shared" si="19"/>
        <v>15</v>
      </c>
      <c r="O76" s="38">
        <f t="shared" si="19"/>
        <v>95.333333333333329</v>
      </c>
      <c r="P76" s="23">
        <f t="shared" si="19"/>
        <v>42</v>
      </c>
      <c r="Q76" s="38">
        <f t="shared" si="19"/>
        <v>127.33333333333333</v>
      </c>
    </row>
    <row r="77" spans="2:17" x14ac:dyDescent="0.3">
      <c r="B77" s="23" t="s">
        <v>143</v>
      </c>
      <c r="C77" s="38">
        <f t="shared" ref="C77:H77" si="20">_xlfn.STDEV.S(C73:C75)</f>
        <v>3.2145502536643514E-2</v>
      </c>
      <c r="D77" s="38">
        <f t="shared" si="20"/>
        <v>2.7563018702602404</v>
      </c>
      <c r="E77" s="38">
        <f t="shared" si="20"/>
        <v>3.8544692674002792</v>
      </c>
      <c r="F77" s="23">
        <f t="shared" si="20"/>
        <v>9.9999999999999645E-2</v>
      </c>
      <c r="G77" s="38">
        <f t="shared" si="20"/>
        <v>0.86837856568051353</v>
      </c>
      <c r="H77" s="38">
        <f t="shared" si="20"/>
        <v>4.0808495847473925</v>
      </c>
      <c r="K77" s="23" t="s">
        <v>143</v>
      </c>
      <c r="L77" s="38">
        <f t="shared" ref="L77:Q77" si="21">_xlfn.STDEV.S(L73:L75)</f>
        <v>1.5275252316519465</v>
      </c>
      <c r="M77" s="23">
        <f t="shared" si="21"/>
        <v>2</v>
      </c>
      <c r="N77" s="23">
        <f t="shared" si="21"/>
        <v>0</v>
      </c>
      <c r="O77" s="38">
        <f t="shared" si="21"/>
        <v>54.884727687521</v>
      </c>
      <c r="P77" s="38">
        <f t="shared" si="21"/>
        <v>23.895606290697042</v>
      </c>
      <c r="Q77" s="38">
        <f t="shared" si="21"/>
        <v>73.214297328686641</v>
      </c>
    </row>
    <row r="78" spans="2:17" x14ac:dyDescent="0.3">
      <c r="B78" s="21"/>
      <c r="C78" s="21"/>
      <c r="D78" s="21"/>
      <c r="E78" s="21"/>
      <c r="F78" s="21"/>
      <c r="G78" s="21"/>
      <c r="H78" s="21"/>
      <c r="K78" s="25"/>
      <c r="L78" s="25"/>
      <c r="M78" s="25"/>
      <c r="N78" s="25"/>
      <c r="O78" s="25"/>
      <c r="P78" s="25"/>
      <c r="Q78" s="25"/>
    </row>
    <row r="79" spans="2:17" x14ac:dyDescent="0.3">
      <c r="B79" s="21" t="s">
        <v>74</v>
      </c>
      <c r="C79" s="21">
        <v>8.24</v>
      </c>
      <c r="D79" s="21">
        <v>17.7</v>
      </c>
      <c r="E79" s="21">
        <v>22.31</v>
      </c>
      <c r="F79" s="21">
        <v>28.2</v>
      </c>
      <c r="G79" s="21">
        <v>4.4800000000000004</v>
      </c>
      <c r="H79" s="21">
        <v>26.1</v>
      </c>
      <c r="K79" s="25" t="s">
        <v>73</v>
      </c>
      <c r="L79" s="25">
        <v>49</v>
      </c>
      <c r="M79" s="25">
        <v>73</v>
      </c>
      <c r="N79" s="25">
        <v>15</v>
      </c>
      <c r="O79" s="25">
        <v>102</v>
      </c>
      <c r="P79" s="25">
        <v>44</v>
      </c>
      <c r="Q79" s="25">
        <v>136</v>
      </c>
    </row>
    <row r="80" spans="2:17" x14ac:dyDescent="0.3">
      <c r="B80" s="21" t="s">
        <v>60</v>
      </c>
      <c r="C80" s="21">
        <v>8.24</v>
      </c>
      <c r="D80" s="21">
        <v>21.3</v>
      </c>
      <c r="E80" s="21">
        <v>27.36</v>
      </c>
      <c r="F80" s="21">
        <v>28.1</v>
      </c>
      <c r="G80" s="21">
        <v>6.5229999999999997</v>
      </c>
      <c r="H80" s="21">
        <v>31.3</v>
      </c>
      <c r="K80" s="25" t="s">
        <v>71</v>
      </c>
      <c r="L80" s="25">
        <v>52</v>
      </c>
      <c r="M80" s="25">
        <v>78</v>
      </c>
      <c r="N80" s="25">
        <v>16</v>
      </c>
      <c r="O80" s="25">
        <v>22</v>
      </c>
      <c r="P80" s="25">
        <v>9</v>
      </c>
      <c r="Q80" s="25">
        <v>29</v>
      </c>
    </row>
    <row r="81" spans="2:17" x14ac:dyDescent="0.3">
      <c r="B81" s="21" t="s">
        <v>61</v>
      </c>
      <c r="C81" s="21">
        <v>8.23</v>
      </c>
      <c r="D81" s="21">
        <v>17.78</v>
      </c>
      <c r="E81" s="21">
        <v>22.4</v>
      </c>
      <c r="F81" s="21">
        <v>28</v>
      </c>
      <c r="G81" s="21">
        <v>6.1130000000000004</v>
      </c>
      <c r="H81" s="21">
        <v>26</v>
      </c>
      <c r="K81" s="25" t="s">
        <v>72</v>
      </c>
      <c r="L81" s="25">
        <v>46</v>
      </c>
      <c r="M81" s="25">
        <v>69</v>
      </c>
      <c r="N81" s="25">
        <v>14</v>
      </c>
      <c r="O81" s="25">
        <v>35</v>
      </c>
      <c r="P81" s="25">
        <v>15</v>
      </c>
      <c r="Q81" s="25">
        <v>47</v>
      </c>
    </row>
    <row r="82" spans="2:17" x14ac:dyDescent="0.3">
      <c r="B82" s="23" t="s">
        <v>161</v>
      </c>
      <c r="C82" s="38">
        <f t="shared" ref="C82:H82" si="22">AVERAGE(C79:C81)</f>
        <v>8.2366666666666664</v>
      </c>
      <c r="D82" s="38">
        <f t="shared" si="22"/>
        <v>18.926666666666666</v>
      </c>
      <c r="E82" s="38">
        <f t="shared" si="22"/>
        <v>24.02333333333333</v>
      </c>
      <c r="F82" s="23">
        <f t="shared" si="22"/>
        <v>28.099999999999998</v>
      </c>
      <c r="G82" s="38">
        <f t="shared" si="22"/>
        <v>5.7053333333333329</v>
      </c>
      <c r="H82" s="23">
        <f t="shared" si="22"/>
        <v>27.8</v>
      </c>
      <c r="K82" s="23" t="s">
        <v>142</v>
      </c>
      <c r="L82" s="23">
        <f t="shared" ref="L82:Q82" si="23">AVERAGE(L79:L81)</f>
        <v>49</v>
      </c>
      <c r="M82" s="38">
        <f t="shared" si="23"/>
        <v>73.333333333333329</v>
      </c>
      <c r="N82" s="23">
        <f t="shared" si="23"/>
        <v>15</v>
      </c>
      <c r="O82" s="23">
        <f t="shared" si="23"/>
        <v>53</v>
      </c>
      <c r="P82" s="38">
        <f t="shared" si="23"/>
        <v>22.666666666666668</v>
      </c>
      <c r="Q82" s="38">
        <f t="shared" si="23"/>
        <v>70.666666666666671</v>
      </c>
    </row>
    <row r="83" spans="2:17" x14ac:dyDescent="0.3">
      <c r="B83" s="23" t="s">
        <v>143</v>
      </c>
      <c r="C83" s="38">
        <f t="shared" ref="C83:H83" si="24">_xlfn.STDEV.S(C79:C81)</f>
        <v>5.7735026918961348E-3</v>
      </c>
      <c r="D83" s="38">
        <f t="shared" si="24"/>
        <v>2.0557561463688572</v>
      </c>
      <c r="E83" s="38">
        <f t="shared" si="24"/>
        <v>2.8899884659516095</v>
      </c>
      <c r="F83" s="23">
        <f t="shared" si="24"/>
        <v>9.9999999999999645E-2</v>
      </c>
      <c r="G83" s="38">
        <f t="shared" si="24"/>
        <v>1.0807896804343267</v>
      </c>
      <c r="H83" s="38">
        <f t="shared" si="24"/>
        <v>3.0315012782448236</v>
      </c>
      <c r="K83" s="23" t="s">
        <v>143</v>
      </c>
      <c r="L83" s="23">
        <f t="shared" ref="L83:Q83" si="25">_xlfn.STDEV.S(L79:L81)</f>
        <v>3</v>
      </c>
      <c r="M83" s="38">
        <f t="shared" si="25"/>
        <v>4.5092497528228943</v>
      </c>
      <c r="N83" s="23">
        <f t="shared" si="25"/>
        <v>1</v>
      </c>
      <c r="O83" s="38">
        <f t="shared" si="25"/>
        <v>42.930175867331364</v>
      </c>
      <c r="P83" s="38">
        <f t="shared" si="25"/>
        <v>18.717193521821944</v>
      </c>
      <c r="Q83" s="38">
        <f t="shared" si="25"/>
        <v>57.29165151514951</v>
      </c>
    </row>
    <row r="84" spans="2:17" x14ac:dyDescent="0.3">
      <c r="B84" s="21"/>
      <c r="C84" s="21"/>
      <c r="D84" s="21"/>
      <c r="E84" s="21"/>
      <c r="F84" s="21"/>
      <c r="G84" s="21"/>
      <c r="H84" s="21"/>
      <c r="K84" s="25"/>
      <c r="L84" s="25"/>
      <c r="M84" s="25"/>
      <c r="N84" s="25"/>
      <c r="O84" s="25"/>
      <c r="P84" s="25"/>
      <c r="Q84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C53F-3DB8-4026-AF49-85A632FEE492}">
  <dimension ref="B2:K26"/>
  <sheetViews>
    <sheetView workbookViewId="0">
      <selection activeCell="I9" sqref="I9"/>
    </sheetView>
  </sheetViews>
  <sheetFormatPr defaultRowHeight="14.4" x14ac:dyDescent="0.3"/>
  <cols>
    <col min="3" max="3" width="20.44140625" customWidth="1"/>
    <col min="4" max="4" width="22.77734375" customWidth="1"/>
    <col min="5" max="5" width="18.5546875" customWidth="1"/>
    <col min="6" max="6" width="28.44140625" customWidth="1"/>
    <col min="7" max="7" width="17.109375" customWidth="1"/>
    <col min="8" max="8" width="25.21875" customWidth="1"/>
    <col min="9" max="9" width="15.5546875" customWidth="1"/>
    <col min="10" max="10" width="22.77734375" customWidth="1"/>
    <col min="11" max="11" width="14.21875" customWidth="1"/>
  </cols>
  <sheetData>
    <row r="2" spans="2:11" x14ac:dyDescent="0.3">
      <c r="C2" t="s">
        <v>195</v>
      </c>
    </row>
    <row r="4" spans="2:11" ht="15.6" x14ac:dyDescent="0.3">
      <c r="C4" s="47" t="s">
        <v>64</v>
      </c>
      <c r="D4" s="47" t="s">
        <v>189</v>
      </c>
      <c r="E4" s="47" t="s">
        <v>190</v>
      </c>
    </row>
    <row r="5" spans="2:11" ht="15.6" x14ac:dyDescent="0.3">
      <c r="C5" s="47" t="s">
        <v>100</v>
      </c>
      <c r="D5" s="48">
        <v>9.0899999999999995E-2</v>
      </c>
      <c r="E5" s="48">
        <v>7.0000000000000007E-2</v>
      </c>
    </row>
    <row r="6" spans="2:11" ht="15.6" x14ac:dyDescent="0.3">
      <c r="C6" s="47" t="s">
        <v>191</v>
      </c>
      <c r="D6" s="48">
        <v>6.7100000000000007E-2</v>
      </c>
      <c r="E6" s="48">
        <v>7.4999999999999997E-2</v>
      </c>
    </row>
    <row r="7" spans="2:11" ht="15.6" x14ac:dyDescent="0.3">
      <c r="C7" s="47" t="s">
        <v>192</v>
      </c>
      <c r="D7" s="48"/>
      <c r="E7" s="47"/>
    </row>
    <row r="8" spans="2:11" ht="15.6" x14ac:dyDescent="0.3">
      <c r="C8" s="47" t="s">
        <v>143</v>
      </c>
      <c r="D8" s="47"/>
      <c r="E8" s="47"/>
    </row>
    <row r="9" spans="2:11" ht="15.6" x14ac:dyDescent="0.3">
      <c r="C9" s="47" t="s">
        <v>193</v>
      </c>
      <c r="D9" s="48">
        <v>0.13489999999999999</v>
      </c>
      <c r="E9" s="48">
        <v>6.8000000000000005E-2</v>
      </c>
      <c r="I9" t="s">
        <v>107</v>
      </c>
    </row>
    <row r="10" spans="2:11" ht="15.6" x14ac:dyDescent="0.3">
      <c r="C10" s="47" t="s">
        <v>194</v>
      </c>
      <c r="D10" s="48">
        <v>9.2899999999999996E-2</v>
      </c>
      <c r="E10" s="48">
        <v>9.1200000000000003E-2</v>
      </c>
    </row>
    <row r="11" spans="2:11" ht="15.6" x14ac:dyDescent="0.3">
      <c r="C11" s="47" t="s">
        <v>192</v>
      </c>
      <c r="D11" s="47"/>
      <c r="E11" s="47"/>
    </row>
    <row r="12" spans="2:11" ht="15.6" x14ac:dyDescent="0.3">
      <c r="C12" s="47" t="s">
        <v>144</v>
      </c>
      <c r="D12" s="47"/>
      <c r="E12" s="47"/>
    </row>
    <row r="16" spans="2:11" ht="15.6" x14ac:dyDescent="0.3">
      <c r="B16" s="47" t="s">
        <v>98</v>
      </c>
      <c r="C16" s="49" t="s">
        <v>99</v>
      </c>
      <c r="D16" s="49" t="s">
        <v>103</v>
      </c>
      <c r="E16" s="49" t="s">
        <v>104</v>
      </c>
      <c r="F16" s="49" t="s">
        <v>105</v>
      </c>
      <c r="G16" s="49" t="s">
        <v>106</v>
      </c>
      <c r="H16" s="49" t="s">
        <v>140</v>
      </c>
      <c r="I16" s="49" t="s">
        <v>206</v>
      </c>
      <c r="J16" s="49" t="s">
        <v>141</v>
      </c>
      <c r="K16" s="49" t="s">
        <v>123</v>
      </c>
    </row>
    <row r="17" spans="2:11" ht="15.6" x14ac:dyDescent="0.3">
      <c r="B17" s="50" t="s">
        <v>100</v>
      </c>
      <c r="C17" s="51">
        <v>41.073999999999998</v>
      </c>
      <c r="D17" s="51">
        <v>5.5</v>
      </c>
      <c r="E17" s="51">
        <v>46.573999999999998</v>
      </c>
      <c r="F17" s="51">
        <v>46.073999999999998</v>
      </c>
      <c r="G17" s="51">
        <v>0.5</v>
      </c>
      <c r="H17" s="51">
        <v>46.073999999999998</v>
      </c>
      <c r="I17" s="51">
        <v>5</v>
      </c>
      <c r="J17" s="51">
        <v>45.723999999999997</v>
      </c>
      <c r="K17" s="51">
        <v>0.35</v>
      </c>
    </row>
    <row r="18" spans="2:11" ht="15.6" x14ac:dyDescent="0.3">
      <c r="B18" s="47" t="s">
        <v>60</v>
      </c>
      <c r="C18" s="51">
        <v>39.162999999999997</v>
      </c>
      <c r="D18" s="51">
        <v>5.36</v>
      </c>
      <c r="E18" s="51">
        <v>44.523000000000003</v>
      </c>
      <c r="F18" s="51">
        <v>44.162999999999997</v>
      </c>
      <c r="G18" s="51">
        <v>0.36</v>
      </c>
      <c r="H18" s="51">
        <v>44.162999999999997</v>
      </c>
      <c r="I18" s="51">
        <v>5</v>
      </c>
      <c r="J18" s="51">
        <v>43.787999999999997</v>
      </c>
      <c r="K18" s="51">
        <v>0.375</v>
      </c>
    </row>
    <row r="19" spans="2:11" ht="15.6" x14ac:dyDescent="0.3">
      <c r="B19" s="52" t="s">
        <v>161</v>
      </c>
      <c r="C19" s="53">
        <f t="shared" ref="C19:K19" si="0">AVERAGE(C17:C18)</f>
        <v>40.118499999999997</v>
      </c>
      <c r="D19" s="52">
        <f t="shared" si="0"/>
        <v>5.43</v>
      </c>
      <c r="E19" s="53">
        <f t="shared" si="0"/>
        <v>45.548500000000004</v>
      </c>
      <c r="F19" s="53">
        <f t="shared" si="0"/>
        <v>45.118499999999997</v>
      </c>
      <c r="G19" s="52">
        <f t="shared" si="0"/>
        <v>0.43</v>
      </c>
      <c r="H19" s="53">
        <f t="shared" si="0"/>
        <v>45.118499999999997</v>
      </c>
      <c r="I19" s="53"/>
      <c r="J19" s="53">
        <f t="shared" si="0"/>
        <v>44.756</v>
      </c>
      <c r="K19" s="53">
        <f t="shared" si="0"/>
        <v>0.36249999999999999</v>
      </c>
    </row>
    <row r="20" spans="2:11" ht="15.6" x14ac:dyDescent="0.3">
      <c r="B20" s="52" t="s">
        <v>143</v>
      </c>
      <c r="C20" s="53">
        <f t="shared" ref="C20:K20" si="1">_xlfn.STDEV.S(C17:C18)</f>
        <v>1.3512810588474933</v>
      </c>
      <c r="D20" s="53">
        <f t="shared" si="1"/>
        <v>9.8994949366116428E-2</v>
      </c>
      <c r="E20" s="53">
        <f t="shared" si="1"/>
        <v>1.4502760082136052</v>
      </c>
      <c r="F20" s="53">
        <f t="shared" si="1"/>
        <v>1.3512810588474933</v>
      </c>
      <c r="G20" s="53">
        <f t="shared" si="1"/>
        <v>9.8994949366116816E-2</v>
      </c>
      <c r="H20" s="53">
        <f t="shared" si="1"/>
        <v>1.3512810588474933</v>
      </c>
      <c r="I20" s="53"/>
      <c r="J20" s="53">
        <f t="shared" si="1"/>
        <v>1.368958728377156</v>
      </c>
      <c r="K20" s="53">
        <f t="shared" si="1"/>
        <v>1.7677669529663705E-2</v>
      </c>
    </row>
    <row r="21" spans="2:11" ht="15.6" x14ac:dyDescent="0.3">
      <c r="B21" s="47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6" x14ac:dyDescent="0.3">
      <c r="B22" s="50" t="s">
        <v>101</v>
      </c>
      <c r="C22" s="51">
        <v>61.954999999999998</v>
      </c>
      <c r="D22" s="51">
        <v>5.78</v>
      </c>
      <c r="E22" s="51">
        <v>67.734999999999999</v>
      </c>
      <c r="F22" s="51">
        <v>66.954999999999998</v>
      </c>
      <c r="G22" s="51">
        <v>0.78</v>
      </c>
      <c r="H22" s="51">
        <v>66.954999999999998</v>
      </c>
      <c r="I22" s="51">
        <v>5</v>
      </c>
      <c r="J22" s="51">
        <v>66.614999999999995</v>
      </c>
      <c r="K22" s="51">
        <v>0.34</v>
      </c>
    </row>
    <row r="23" spans="2:11" ht="15.6" x14ac:dyDescent="0.3">
      <c r="B23" s="47" t="s">
        <v>102</v>
      </c>
      <c r="C23" s="51">
        <v>60.709000000000003</v>
      </c>
      <c r="D23" s="51">
        <v>6.8860000000000001</v>
      </c>
      <c r="E23" s="51">
        <v>67.594999999999999</v>
      </c>
      <c r="F23" s="51">
        <v>66.954999999999998</v>
      </c>
      <c r="G23" s="51">
        <v>0.64</v>
      </c>
      <c r="H23" s="51">
        <v>66.954999999999998</v>
      </c>
      <c r="I23" s="51">
        <v>5</v>
      </c>
      <c r="J23" s="51">
        <v>65.253</v>
      </c>
      <c r="K23" s="51">
        <v>0.45600000000000002</v>
      </c>
    </row>
    <row r="24" spans="2:11" ht="15.6" x14ac:dyDescent="0.3">
      <c r="B24" s="52" t="s">
        <v>161</v>
      </c>
      <c r="C24" s="53">
        <f t="shared" ref="C24:K24" si="2">AVERAGE(C22:C23)</f>
        <v>61.332000000000001</v>
      </c>
      <c r="D24" s="53">
        <f t="shared" si="2"/>
        <v>6.3330000000000002</v>
      </c>
      <c r="E24" s="53">
        <f t="shared" si="2"/>
        <v>67.664999999999992</v>
      </c>
      <c r="F24" s="52">
        <f t="shared" si="2"/>
        <v>66.954999999999998</v>
      </c>
      <c r="G24" s="52">
        <f t="shared" si="2"/>
        <v>0.71</v>
      </c>
      <c r="H24" s="53">
        <f t="shared" si="2"/>
        <v>66.954999999999998</v>
      </c>
      <c r="I24" s="53"/>
      <c r="J24" s="53">
        <f t="shared" si="2"/>
        <v>65.933999999999997</v>
      </c>
      <c r="K24" s="53">
        <f t="shared" si="2"/>
        <v>0.39800000000000002</v>
      </c>
    </row>
    <row r="25" spans="2:11" ht="15.6" x14ac:dyDescent="0.3">
      <c r="B25" s="52" t="s">
        <v>143</v>
      </c>
      <c r="C25" s="54">
        <f t="shared" ref="C25:K25" si="3">_xlfn.STDEV.S(C22:C23)</f>
        <v>0.88105504935843471</v>
      </c>
      <c r="D25" s="54">
        <f t="shared" si="3"/>
        <v>0.78206009999232151</v>
      </c>
      <c r="E25" s="54">
        <f t="shared" si="3"/>
        <v>9.8994949366117052E-2</v>
      </c>
      <c r="F25" s="52">
        <f t="shared" si="3"/>
        <v>0</v>
      </c>
      <c r="G25" s="54">
        <f t="shared" si="3"/>
        <v>9.8994949366116664E-2</v>
      </c>
      <c r="H25" s="52">
        <f t="shared" si="3"/>
        <v>0</v>
      </c>
      <c r="I25" s="52"/>
      <c r="J25" s="54">
        <f t="shared" si="3"/>
        <v>0.96307943597607404</v>
      </c>
      <c r="K25" s="54">
        <f t="shared" si="3"/>
        <v>8.2024386617639583E-2</v>
      </c>
    </row>
    <row r="26" spans="2:11" ht="15.6" x14ac:dyDescent="0.3">
      <c r="B26" s="47"/>
      <c r="C26" s="51"/>
      <c r="D26" s="51"/>
      <c r="E26" s="51"/>
      <c r="F26" s="51"/>
      <c r="G26" s="51"/>
      <c r="H26" s="51"/>
      <c r="I26" s="51"/>
      <c r="J26" s="51"/>
      <c r="K26" s="5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259B-A148-42E8-AF46-F2F1D20A1561}">
  <dimension ref="B3:K15"/>
  <sheetViews>
    <sheetView workbookViewId="0">
      <selection activeCell="F23" sqref="F23"/>
    </sheetView>
  </sheetViews>
  <sheetFormatPr defaultRowHeight="14.4" x14ac:dyDescent="0.3"/>
  <cols>
    <col min="2" max="2" width="19.88671875" customWidth="1"/>
    <col min="3" max="3" width="20" customWidth="1"/>
    <col min="4" max="4" width="10" customWidth="1"/>
    <col min="5" max="5" width="26.5546875" customWidth="1"/>
    <col min="6" max="6" width="24.109375" customWidth="1"/>
    <col min="7" max="7" width="13" customWidth="1"/>
    <col min="8" max="8" width="32.21875" customWidth="1"/>
    <col min="9" max="9" width="15.109375" customWidth="1"/>
    <col min="10" max="10" width="28.5546875" customWidth="1"/>
  </cols>
  <sheetData>
    <row r="3" spans="2:11" ht="15.6" x14ac:dyDescent="0.3">
      <c r="B3" s="47" t="s">
        <v>64</v>
      </c>
      <c r="C3" s="47" t="s">
        <v>130</v>
      </c>
      <c r="D3" s="47" t="s">
        <v>195</v>
      </c>
      <c r="E3" s="47" t="s">
        <v>196</v>
      </c>
      <c r="F3" s="47" t="s">
        <v>197</v>
      </c>
      <c r="G3" s="47" t="s">
        <v>123</v>
      </c>
      <c r="H3" s="47" t="s">
        <v>198</v>
      </c>
      <c r="I3" s="47" t="s">
        <v>199</v>
      </c>
      <c r="J3" s="47" t="s">
        <v>200</v>
      </c>
      <c r="K3" s="47" t="s">
        <v>123</v>
      </c>
    </row>
    <row r="4" spans="2:11" ht="15.6" x14ac:dyDescent="0.3">
      <c r="B4" s="47" t="s">
        <v>201</v>
      </c>
      <c r="C4" s="47">
        <v>14.710699999999999</v>
      </c>
      <c r="D4" s="47">
        <v>5.0034999999999998</v>
      </c>
      <c r="E4" s="47">
        <v>19.714200000000002</v>
      </c>
      <c r="F4" s="47">
        <v>19.677</v>
      </c>
      <c r="G4" s="47">
        <v>3.7199999999999997E-2</v>
      </c>
      <c r="H4" s="47">
        <v>16.961500000000001</v>
      </c>
      <c r="I4" s="47">
        <v>2.2507999999999999</v>
      </c>
      <c r="J4" s="47">
        <v>15.535600000000001</v>
      </c>
      <c r="K4" s="47">
        <v>1.4258999999999999</v>
      </c>
    </row>
    <row r="5" spans="2:11" ht="15.6" x14ac:dyDescent="0.3">
      <c r="B5" s="47" t="s">
        <v>202</v>
      </c>
      <c r="C5" s="47">
        <v>11.8514</v>
      </c>
      <c r="D5" s="47">
        <v>5.0143000000000004</v>
      </c>
      <c r="E5" s="47">
        <v>16.8657</v>
      </c>
      <c r="F5" s="47">
        <v>16.810099999999998</v>
      </c>
      <c r="G5" s="47">
        <v>5.5599999999999997E-2</v>
      </c>
      <c r="H5" s="47">
        <v>14.025399999999999</v>
      </c>
      <c r="I5" s="47">
        <v>2.1739999999999999</v>
      </c>
      <c r="J5" s="47">
        <v>12.6534</v>
      </c>
      <c r="K5" s="47">
        <v>1.3720000000000001</v>
      </c>
    </row>
    <row r="6" spans="2:11" ht="15.6" x14ac:dyDescent="0.3">
      <c r="B6" s="47" t="s">
        <v>203</v>
      </c>
      <c r="C6" s="47">
        <v>12.519399999999999</v>
      </c>
      <c r="D6" s="47">
        <v>5.0091000000000001</v>
      </c>
      <c r="E6" s="47">
        <v>17.522500000000001</v>
      </c>
      <c r="F6" s="47">
        <v>17.465399999999999</v>
      </c>
      <c r="G6" s="47">
        <v>5.7099999999999998E-2</v>
      </c>
      <c r="H6" s="47">
        <v>14.6274</v>
      </c>
      <c r="I6" s="47">
        <v>2.1080000000000001</v>
      </c>
      <c r="J6" s="47">
        <v>13.275499999999999</v>
      </c>
      <c r="K6" s="47">
        <v>1.3519000000000001</v>
      </c>
    </row>
    <row r="7" spans="2:11" ht="15.6" x14ac:dyDescent="0.3">
      <c r="B7" s="47"/>
      <c r="C7" s="47"/>
      <c r="D7" s="47"/>
      <c r="E7" s="47"/>
      <c r="F7" s="47"/>
      <c r="G7" s="47"/>
      <c r="H7" s="47"/>
      <c r="I7" s="47"/>
      <c r="J7" s="47"/>
      <c r="K7" s="47"/>
    </row>
    <row r="10" spans="2:11" ht="15.6" x14ac:dyDescent="0.3">
      <c r="E10" s="47" t="s">
        <v>64</v>
      </c>
      <c r="F10" s="47" t="s">
        <v>189</v>
      </c>
      <c r="G10" s="47" t="s">
        <v>190</v>
      </c>
    </row>
    <row r="11" spans="2:11" ht="15.6" x14ac:dyDescent="0.3">
      <c r="E11" s="47" t="s">
        <v>204</v>
      </c>
      <c r="F11" s="48">
        <v>7.4000000000000003E-3</v>
      </c>
      <c r="G11" s="48">
        <v>0.63349999999999995</v>
      </c>
    </row>
    <row r="12" spans="2:11" ht="15.6" x14ac:dyDescent="0.3">
      <c r="E12" s="47" t="s">
        <v>202</v>
      </c>
      <c r="F12" s="48">
        <v>1.0999999999999999E-2</v>
      </c>
      <c r="G12" s="48">
        <v>0.63100000000000001</v>
      </c>
    </row>
    <row r="13" spans="2:11" ht="15.6" x14ac:dyDescent="0.3">
      <c r="E13" s="47" t="s">
        <v>205</v>
      </c>
      <c r="F13" s="48">
        <v>1.1299999999999999E-2</v>
      </c>
      <c r="G13" s="48">
        <v>0.64129999999999998</v>
      </c>
    </row>
    <row r="14" spans="2:11" ht="15.6" x14ac:dyDescent="0.3">
      <c r="E14" s="47" t="s">
        <v>142</v>
      </c>
      <c r="F14" s="47"/>
      <c r="G14" s="47"/>
    </row>
    <row r="15" spans="2:11" ht="15.6" x14ac:dyDescent="0.3">
      <c r="E15" s="47" t="s">
        <v>143</v>
      </c>
      <c r="F15" s="47"/>
      <c r="G15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growth </vt:lpstr>
      <vt:lpstr>LOI</vt:lpstr>
      <vt:lpstr>proxymate analysis </vt:lpstr>
      <vt:lpstr>sea cucumber growth </vt:lpstr>
      <vt:lpstr>sea weed growth</vt:lpstr>
      <vt:lpstr>water quality</vt:lpstr>
      <vt:lpstr>soil </vt:lpstr>
      <vt:lpstr>proximte anaysiz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Varthy karu</dc:creator>
  <cp:lastModifiedBy>KARUNAKARAN</cp:lastModifiedBy>
  <dcterms:created xsi:type="dcterms:W3CDTF">2026-01-22T13:13:38Z</dcterms:created>
  <dcterms:modified xsi:type="dcterms:W3CDTF">2026-05-03T13:29:59Z</dcterms:modified>
</cp:coreProperties>
</file>