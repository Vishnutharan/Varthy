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rth\OneDrive\Desktop\importn\results\"/>
    </mc:Choice>
  </mc:AlternateContent>
  <xr:revisionPtr revIDLastSave="0" documentId="13_ncr:1_{7925B828-24D6-414E-AB3B-6E97364E9388}" xr6:coauthVersionLast="47" xr6:coauthVersionMax="47" xr10:uidLastSave="{00000000-0000-0000-0000-000000000000}"/>
  <bookViews>
    <workbookView xWindow="-108" yWindow="-108" windowWidth="23256" windowHeight="12456" tabRatio="649" activeTab="3" xr2:uid="{39ED25B6-9672-4691-872F-56C7AFD604DC}"/>
  </bookViews>
  <sheets>
    <sheet name="water quality " sheetId="3" r:id="rId1"/>
    <sheet name="sea cucumber growth " sheetId="1" r:id="rId2"/>
    <sheet name="sea weed growth " sheetId="2" r:id="rId3"/>
    <sheet name="Soil organic content " sheetId="4" r:id="rId4"/>
    <sheet name="proximate analysis seaweed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4" l="1"/>
  <c r="K13" i="4"/>
  <c r="I13" i="4"/>
  <c r="H13" i="4"/>
  <c r="G13" i="4"/>
  <c r="F13" i="4"/>
  <c r="E13" i="4"/>
  <c r="D13" i="4"/>
  <c r="L12" i="4"/>
  <c r="K12" i="4"/>
  <c r="I12" i="4"/>
  <c r="H12" i="4"/>
  <c r="G12" i="4"/>
  <c r="F12" i="4"/>
  <c r="E12" i="4"/>
  <c r="D12" i="4"/>
  <c r="L8" i="4"/>
  <c r="K8" i="4"/>
  <c r="I8" i="4"/>
  <c r="H8" i="4"/>
  <c r="G8" i="4"/>
  <c r="F8" i="4"/>
  <c r="E8" i="4"/>
  <c r="D8" i="4"/>
  <c r="L7" i="4"/>
  <c r="K7" i="4"/>
  <c r="I7" i="4"/>
  <c r="H7" i="4"/>
  <c r="G7" i="4"/>
  <c r="F7" i="4"/>
  <c r="E7" i="4"/>
  <c r="D7" i="4"/>
  <c r="Q88" i="3"/>
  <c r="P88" i="3"/>
  <c r="O88" i="3"/>
  <c r="N88" i="3"/>
  <c r="M88" i="3"/>
  <c r="L88" i="3"/>
  <c r="Q87" i="3"/>
  <c r="P87" i="3"/>
  <c r="O87" i="3"/>
  <c r="N87" i="3"/>
  <c r="M87" i="3"/>
  <c r="L87" i="3"/>
  <c r="Q82" i="3"/>
  <c r="P82" i="3"/>
  <c r="O82" i="3"/>
  <c r="N82" i="3"/>
  <c r="M82" i="3"/>
  <c r="L82" i="3"/>
  <c r="Q81" i="3"/>
  <c r="P81" i="3"/>
  <c r="O81" i="3"/>
  <c r="N81" i="3"/>
  <c r="M81" i="3"/>
  <c r="L81" i="3"/>
  <c r="Q33" i="3"/>
  <c r="P33" i="3"/>
  <c r="O33" i="3"/>
  <c r="N33" i="3"/>
  <c r="M33" i="3"/>
  <c r="L33" i="3"/>
  <c r="Q32" i="3"/>
  <c r="P32" i="3"/>
  <c r="O32" i="3"/>
  <c r="N32" i="3"/>
  <c r="M32" i="3"/>
  <c r="L32" i="3"/>
  <c r="Q27" i="3"/>
  <c r="P27" i="3"/>
  <c r="O27" i="3"/>
  <c r="N27" i="3"/>
  <c r="M27" i="3"/>
  <c r="L27" i="3"/>
  <c r="Q26" i="3"/>
  <c r="P26" i="3"/>
  <c r="O26" i="3"/>
  <c r="N26" i="3"/>
  <c r="M26" i="3"/>
  <c r="L26" i="3"/>
  <c r="H89" i="3"/>
  <c r="G89" i="3"/>
  <c r="F89" i="3"/>
  <c r="E89" i="3"/>
  <c r="D89" i="3"/>
  <c r="C89" i="3"/>
  <c r="H88" i="3"/>
  <c r="G88" i="3"/>
  <c r="F88" i="3"/>
  <c r="E88" i="3"/>
  <c r="D88" i="3"/>
  <c r="C88" i="3"/>
  <c r="H83" i="3"/>
  <c r="G83" i="3"/>
  <c r="F83" i="3"/>
  <c r="E83" i="3"/>
  <c r="D83" i="3"/>
  <c r="C83" i="3"/>
  <c r="H82" i="3"/>
  <c r="G82" i="3"/>
  <c r="F82" i="3"/>
  <c r="E82" i="3"/>
  <c r="D82" i="3"/>
  <c r="C82" i="3"/>
  <c r="H71" i="3"/>
  <c r="G71" i="3"/>
  <c r="F71" i="3"/>
  <c r="E71" i="3"/>
  <c r="D71" i="3"/>
  <c r="C71" i="3"/>
  <c r="H70" i="3"/>
  <c r="G70" i="3"/>
  <c r="F70" i="3"/>
  <c r="E70" i="3"/>
  <c r="D70" i="3"/>
  <c r="C70" i="3"/>
  <c r="H65" i="3"/>
  <c r="G65" i="3"/>
  <c r="F65" i="3"/>
  <c r="E65" i="3"/>
  <c r="D65" i="3"/>
  <c r="C65" i="3"/>
  <c r="H64" i="3"/>
  <c r="G64" i="3"/>
  <c r="F64" i="3"/>
  <c r="E64" i="3"/>
  <c r="D64" i="3"/>
  <c r="C64" i="3"/>
  <c r="H53" i="3"/>
  <c r="G53" i="3"/>
  <c r="F53" i="3"/>
  <c r="E53" i="3"/>
  <c r="D53" i="3"/>
  <c r="C53" i="3"/>
  <c r="H52" i="3"/>
  <c r="G52" i="3"/>
  <c r="F52" i="3"/>
  <c r="E52" i="3"/>
  <c r="D52" i="3"/>
  <c r="C52" i="3"/>
  <c r="H47" i="3"/>
  <c r="G47" i="3"/>
  <c r="F47" i="3"/>
  <c r="E47" i="3"/>
  <c r="D47" i="3"/>
  <c r="C47" i="3"/>
  <c r="H46" i="3"/>
  <c r="G46" i="3"/>
  <c r="F46" i="3"/>
  <c r="E46" i="3"/>
  <c r="D46" i="3"/>
  <c r="C46" i="3"/>
  <c r="H34" i="3"/>
  <c r="G34" i="3"/>
  <c r="F34" i="3"/>
  <c r="E34" i="3"/>
  <c r="D34" i="3"/>
  <c r="C34" i="3"/>
  <c r="H33" i="3"/>
  <c r="G33" i="3"/>
  <c r="F33" i="3"/>
  <c r="E33" i="3"/>
  <c r="D33" i="3"/>
  <c r="C33" i="3"/>
  <c r="H28" i="3"/>
  <c r="G28" i="3"/>
  <c r="F28" i="3"/>
  <c r="E28" i="3"/>
  <c r="D28" i="3"/>
  <c r="C28" i="3"/>
  <c r="H27" i="3"/>
  <c r="G27" i="3"/>
  <c r="F27" i="3"/>
  <c r="E27" i="3"/>
  <c r="D27" i="3"/>
  <c r="C27" i="3"/>
  <c r="H16" i="3"/>
  <c r="G16" i="3"/>
  <c r="F16" i="3"/>
  <c r="E16" i="3"/>
  <c r="D16" i="3"/>
  <c r="C16" i="3"/>
  <c r="H15" i="3"/>
  <c r="G15" i="3"/>
  <c r="F15" i="3"/>
  <c r="E15" i="3"/>
  <c r="D15" i="3"/>
  <c r="C15" i="3"/>
  <c r="H10" i="3"/>
  <c r="G10" i="3"/>
  <c r="F10" i="3"/>
  <c r="E10" i="3"/>
  <c r="D10" i="3"/>
  <c r="C10" i="3"/>
  <c r="H9" i="3"/>
  <c r="G9" i="3"/>
  <c r="F9" i="3"/>
  <c r="E9" i="3"/>
  <c r="D9" i="3"/>
  <c r="C9" i="3"/>
  <c r="T39" i="2"/>
  <c r="Q39" i="2"/>
  <c r="T38" i="2"/>
  <c r="Q38" i="2"/>
  <c r="T37" i="2"/>
  <c r="Q37" i="2"/>
  <c r="M39" i="2"/>
  <c r="J39" i="2"/>
  <c r="M38" i="2"/>
  <c r="J38" i="2"/>
  <c r="M37" i="2"/>
  <c r="J37" i="2"/>
  <c r="F39" i="2"/>
  <c r="C39" i="2"/>
  <c r="F38" i="2"/>
  <c r="C38" i="2"/>
  <c r="F37" i="2"/>
  <c r="C37" i="2"/>
  <c r="H92" i="1"/>
  <c r="G92" i="1"/>
  <c r="H91" i="1"/>
  <c r="G91" i="1"/>
  <c r="D91" i="1"/>
  <c r="C91" i="1"/>
  <c r="D90" i="1"/>
  <c r="C90" i="1"/>
  <c r="H74" i="1"/>
  <c r="G74" i="1"/>
  <c r="D74" i="1"/>
  <c r="C74" i="1"/>
  <c r="H73" i="1"/>
  <c r="G73" i="1"/>
  <c r="D73" i="1"/>
  <c r="C73" i="1"/>
  <c r="H56" i="1"/>
  <c r="G56" i="1"/>
  <c r="H55" i="1"/>
  <c r="G55" i="1"/>
  <c r="D55" i="1"/>
  <c r="C55" i="1"/>
  <c r="D54" i="1"/>
  <c r="C54" i="1"/>
  <c r="H42" i="1"/>
  <c r="G42" i="1"/>
  <c r="H41" i="1"/>
  <c r="G41" i="1"/>
  <c r="D38" i="1"/>
  <c r="C38" i="1"/>
  <c r="D37" i="1"/>
  <c r="C37" i="1"/>
  <c r="H19" i="1"/>
  <c r="G19" i="1"/>
  <c r="D19" i="1"/>
  <c r="C19" i="1"/>
  <c r="H18" i="1"/>
  <c r="G18" i="1"/>
  <c r="D18" i="1"/>
  <c r="C18" i="1"/>
</calcChain>
</file>

<file path=xl/sharedStrings.xml><?xml version="1.0" encoding="utf-8"?>
<sst xmlns="http://schemas.openxmlformats.org/spreadsheetml/2006/main" count="524" uniqueCount="203">
  <si>
    <t>week 2</t>
  </si>
  <si>
    <t>14.01.2026</t>
  </si>
  <si>
    <t>under IMTA</t>
  </si>
  <si>
    <t>under monoculture</t>
  </si>
  <si>
    <t xml:space="preserve">sea cucumber </t>
  </si>
  <si>
    <t>Weight (g)</t>
  </si>
  <si>
    <t>Length(cm)</t>
  </si>
  <si>
    <t>weight (g)</t>
  </si>
  <si>
    <t xml:space="preserve">Mean </t>
  </si>
  <si>
    <t>SD</t>
  </si>
  <si>
    <t>week 3</t>
  </si>
  <si>
    <t>24.01.2026</t>
  </si>
  <si>
    <t>under  monoculture</t>
  </si>
  <si>
    <t>length (cm)</t>
  </si>
  <si>
    <t>week 4</t>
  </si>
  <si>
    <t>01.02.2026</t>
  </si>
  <si>
    <t>week 5</t>
  </si>
  <si>
    <t>06.02.2026</t>
  </si>
  <si>
    <t>IMTA</t>
  </si>
  <si>
    <t>Monoculture</t>
  </si>
  <si>
    <t xml:space="preserve">SD </t>
  </si>
  <si>
    <t>week 6</t>
  </si>
  <si>
    <t>15.02.2026</t>
  </si>
  <si>
    <t xml:space="preserve">Treatment </t>
  </si>
  <si>
    <t>Initial mean weight (g)</t>
  </si>
  <si>
    <t>final mean weight (g)</t>
  </si>
  <si>
    <t>weight change (g)</t>
  </si>
  <si>
    <t xml:space="preserve">% change </t>
  </si>
  <si>
    <t>AGR (g/day)</t>
  </si>
  <si>
    <t>SGR (%/day )</t>
  </si>
  <si>
    <t xml:space="preserve">IMTA </t>
  </si>
  <si>
    <t xml:space="preserve">Monoculture </t>
  </si>
  <si>
    <t>Replicate 1</t>
  </si>
  <si>
    <t xml:space="preserve">seedlings </t>
  </si>
  <si>
    <t>initial weight (g)</t>
  </si>
  <si>
    <t>final weight (g)</t>
  </si>
  <si>
    <t>R1 S1</t>
  </si>
  <si>
    <t>R1 S2</t>
  </si>
  <si>
    <t>R1 S3</t>
  </si>
  <si>
    <t>R1 S4</t>
  </si>
  <si>
    <t>R1 S5</t>
  </si>
  <si>
    <t>R1 S6</t>
  </si>
  <si>
    <t>R1 S7</t>
  </si>
  <si>
    <t>R1 S8</t>
  </si>
  <si>
    <t>R1 S9</t>
  </si>
  <si>
    <t>R1 S10</t>
  </si>
  <si>
    <t>R2 S1</t>
  </si>
  <si>
    <t>R2 S2</t>
  </si>
  <si>
    <t>R2 S3</t>
  </si>
  <si>
    <t>R2 S4</t>
  </si>
  <si>
    <t>R2 S5</t>
  </si>
  <si>
    <t>R2 S6</t>
  </si>
  <si>
    <t>R2 S7</t>
  </si>
  <si>
    <t>R2 S8</t>
  </si>
  <si>
    <t>R2 S9</t>
  </si>
  <si>
    <t>R2 S10</t>
  </si>
  <si>
    <t>R3 S1</t>
  </si>
  <si>
    <t>R3 S2</t>
  </si>
  <si>
    <t>R3 S3</t>
  </si>
  <si>
    <t>R3 S4</t>
  </si>
  <si>
    <t>R3 S5</t>
  </si>
  <si>
    <t>R3 S6</t>
  </si>
  <si>
    <t>R3 S7</t>
  </si>
  <si>
    <t>R3 S8</t>
  </si>
  <si>
    <t>R3 S9</t>
  </si>
  <si>
    <t>R3 S10</t>
  </si>
  <si>
    <t xml:space="preserve">sum </t>
  </si>
  <si>
    <t>Replicate 2</t>
  </si>
  <si>
    <t>seedlings</t>
  </si>
  <si>
    <t xml:space="preserve">R2 S1 </t>
  </si>
  <si>
    <t>Mean</t>
  </si>
  <si>
    <t>Replicate 3</t>
  </si>
  <si>
    <t>sum</t>
  </si>
  <si>
    <t xml:space="preserve">initial weight </t>
  </si>
  <si>
    <t xml:space="preserve">final weight </t>
  </si>
  <si>
    <t xml:space="preserve">culture period </t>
  </si>
  <si>
    <t>51 days</t>
  </si>
  <si>
    <t xml:space="preserve">total weight gain </t>
  </si>
  <si>
    <t>AGR =</t>
  </si>
  <si>
    <t>wf-wi/t</t>
  </si>
  <si>
    <t>8.49g/day</t>
  </si>
  <si>
    <t>SGR</t>
  </si>
  <si>
    <t>(lnwf-lnwi/t)100</t>
  </si>
  <si>
    <t xml:space="preserve">0.49%/day </t>
  </si>
  <si>
    <t xml:space="preserve">week 2 </t>
  </si>
  <si>
    <t xml:space="preserve">Water quality </t>
  </si>
  <si>
    <t xml:space="preserve">Sample </t>
  </si>
  <si>
    <t>PH</t>
  </si>
  <si>
    <t>TDS (ppt)</t>
  </si>
  <si>
    <t>Salinity (ppt)</t>
  </si>
  <si>
    <t>Temperature</t>
  </si>
  <si>
    <t>DO(mg/l) winkler</t>
  </si>
  <si>
    <t>Conductivity (mS)</t>
  </si>
  <si>
    <t>Site 1  R 1</t>
  </si>
  <si>
    <t xml:space="preserve">               R2</t>
  </si>
  <si>
    <t xml:space="preserve">               R3</t>
  </si>
  <si>
    <t>Site 2  R 1</t>
  </si>
  <si>
    <t xml:space="preserve">               R2 </t>
  </si>
  <si>
    <t xml:space="preserve">week 3 </t>
  </si>
  <si>
    <t xml:space="preserve">water quality </t>
  </si>
  <si>
    <t xml:space="preserve">DO(mg/l) probe </t>
  </si>
  <si>
    <t>Site 1    R1</t>
  </si>
  <si>
    <t xml:space="preserve">                 R2</t>
  </si>
  <si>
    <t xml:space="preserve">                 R3</t>
  </si>
  <si>
    <t>Site 2    R1</t>
  </si>
  <si>
    <t xml:space="preserve">PH </t>
  </si>
  <si>
    <t>Salinity(ppt)</t>
  </si>
  <si>
    <t>DO (mg/L)</t>
  </si>
  <si>
    <t>week 7</t>
  </si>
  <si>
    <t>N/P</t>
  </si>
  <si>
    <t xml:space="preserve">sample </t>
  </si>
  <si>
    <t>NANO2(µg/L)</t>
  </si>
  <si>
    <t>NO2--N(µg/L)</t>
  </si>
  <si>
    <t>P2O5(µg/L)</t>
  </si>
  <si>
    <t>P(µg/L)</t>
  </si>
  <si>
    <t>PO43-(µg/L)</t>
  </si>
  <si>
    <t>Site 1      R1</t>
  </si>
  <si>
    <t xml:space="preserve">                   R2     </t>
  </si>
  <si>
    <t xml:space="preserve">                   R3</t>
  </si>
  <si>
    <t>Site 2      R1</t>
  </si>
  <si>
    <t>-</t>
  </si>
  <si>
    <t>sample</t>
  </si>
  <si>
    <t>crusible weight (g)</t>
  </si>
  <si>
    <t>soil weight (5g)</t>
  </si>
  <si>
    <t>crusible + soil weight (before )</t>
  </si>
  <si>
    <t>crusible + soil weight ( after )</t>
  </si>
  <si>
    <t>LOSS</t>
  </si>
  <si>
    <t xml:space="preserve">crusible + soilbefore </t>
  </si>
  <si>
    <t>crusible + soil after</t>
  </si>
  <si>
    <t>loss</t>
  </si>
  <si>
    <t xml:space="preserve">site 1 R1 </t>
  </si>
  <si>
    <t>site 2  R1</t>
  </si>
  <si>
    <t xml:space="preserve">                R2</t>
  </si>
  <si>
    <t xml:space="preserve">crusible weight </t>
  </si>
  <si>
    <t xml:space="preserve">sea weed </t>
  </si>
  <si>
    <t>Replicate</t>
  </si>
  <si>
    <t>n</t>
  </si>
  <si>
    <t>Overall</t>
  </si>
  <si>
    <t>s</t>
  </si>
  <si>
    <t>weeks</t>
  </si>
  <si>
    <t xml:space="preserve">mean weight IMTA </t>
  </si>
  <si>
    <t>mean weight Monoculture</t>
  </si>
  <si>
    <t xml:space="preserve">weeks </t>
  </si>
  <si>
    <t xml:space="preserve">mean length IMTA </t>
  </si>
  <si>
    <t>mean length Monoculture</t>
  </si>
  <si>
    <t xml:space="preserve">SGR </t>
  </si>
  <si>
    <t xml:space="preserve">AGR </t>
  </si>
  <si>
    <t xml:space="preserve">replicates </t>
  </si>
  <si>
    <t>Rep 1</t>
  </si>
  <si>
    <t>Rep 2</t>
  </si>
  <si>
    <t>Rep 3</t>
  </si>
  <si>
    <t>Initial biomass</t>
  </si>
  <si>
    <t>Final biomass</t>
  </si>
  <si>
    <t>DO</t>
  </si>
  <si>
    <t>Salinity</t>
  </si>
  <si>
    <t>TDS</t>
  </si>
  <si>
    <t>Conductivity</t>
  </si>
  <si>
    <t>seaweed biomass</t>
  </si>
  <si>
    <t>Nitrite</t>
  </si>
  <si>
    <t>Sodium Nitrite</t>
  </si>
  <si>
    <t>Nitrite Nitrogen</t>
  </si>
  <si>
    <t>Phosphorus Pentoxide</t>
  </si>
  <si>
    <t xml:space="preserve">Phosphate iron </t>
  </si>
  <si>
    <t>Phosphorus</t>
  </si>
  <si>
    <t>AGR</t>
  </si>
  <si>
    <t>Final total</t>
  </si>
  <si>
    <t>Initial  total</t>
  </si>
  <si>
    <t xml:space="preserve">Biomass gain </t>
  </si>
  <si>
    <t xml:space="preserve">% gain </t>
  </si>
  <si>
    <t>Survival %</t>
  </si>
  <si>
    <t xml:space="preserve">Initial mean weight </t>
  </si>
  <si>
    <t xml:space="preserve">Final mean weight </t>
  </si>
  <si>
    <t xml:space="preserve">weight change </t>
  </si>
  <si>
    <t xml:space="preserve">%change </t>
  </si>
  <si>
    <t xml:space="preserve">Salinity </t>
  </si>
  <si>
    <t>8.23+-0.08</t>
  </si>
  <si>
    <t xml:space="preserve">Replicate </t>
  </si>
  <si>
    <t xml:space="preserve">Mean Initial Weight </t>
  </si>
  <si>
    <t xml:space="preserve">Mean Final Weight </t>
  </si>
  <si>
    <t>Mean weight gain</t>
  </si>
  <si>
    <t>16.97+</t>
  </si>
  <si>
    <t xml:space="preserve">Overall range </t>
  </si>
  <si>
    <t>NO2-(µg/L)</t>
  </si>
  <si>
    <t xml:space="preserve">survival </t>
  </si>
  <si>
    <t>overall</t>
  </si>
  <si>
    <t>site 1 R2</t>
  </si>
  <si>
    <t xml:space="preserve">mean </t>
  </si>
  <si>
    <t xml:space="preserve">site 2 R1 </t>
  </si>
  <si>
    <t xml:space="preserve">site 2 R2 </t>
  </si>
  <si>
    <t>MOISTURE %</t>
  </si>
  <si>
    <t>OM%</t>
  </si>
  <si>
    <t xml:space="preserve">R 1 </t>
  </si>
  <si>
    <t>R 2</t>
  </si>
  <si>
    <t xml:space="preserve">R 3 </t>
  </si>
  <si>
    <t>R 1</t>
  </si>
  <si>
    <t>R 3</t>
  </si>
  <si>
    <t xml:space="preserve">soil </t>
  </si>
  <si>
    <t xml:space="preserve">crusible + soil before </t>
  </si>
  <si>
    <t xml:space="preserve">crusible + soil after </t>
  </si>
  <si>
    <t xml:space="preserve">crusible + sample before furnace </t>
  </si>
  <si>
    <t xml:space="preserve">dry sample </t>
  </si>
  <si>
    <t>crusible + sample after furnace</t>
  </si>
  <si>
    <t>dry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</si>
</sst>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E+00"/>
  </numFmts>
  <fonts count="2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14" borderId="2" xfId="0" applyFont="1" applyFill="1" applyBorder="1"/>
    <xf numFmtId="0" fontId="1" fillId="15" borderId="2" xfId="0" applyFont="1" applyFill="1" applyBorder="1"/>
    <xf numFmtId="0" fontId="1" fillId="5" borderId="2" xfId="0" applyFont="1" applyFill="1" applyBorder="1"/>
    <xf numFmtId="0" fontId="1" fillId="7" borderId="2" xfId="0" applyFont="1" applyFill="1" applyBorder="1"/>
    <xf numFmtId="2" fontId="1" fillId="7" borderId="2" xfId="0" applyNumberFormat="1" applyFont="1" applyFill="1" applyBorder="1"/>
    <xf numFmtId="164" fontId="1" fillId="7" borderId="2" xfId="0" applyNumberFormat="1" applyFont="1" applyFill="1" applyBorder="1"/>
    <xf numFmtId="0" fontId="1" fillId="3" borderId="0" xfId="0" applyFont="1" applyFill="1"/>
    <xf numFmtId="0" fontId="1" fillId="4" borderId="2" xfId="0" applyFont="1" applyFill="1" applyBorder="1"/>
    <xf numFmtId="2" fontId="1" fillId="5" borderId="2" xfId="0" applyNumberFormat="1" applyFont="1" applyFill="1" applyBorder="1"/>
    <xf numFmtId="0" fontId="1" fillId="9" borderId="2" xfId="0" applyFont="1" applyFill="1" applyBorder="1"/>
    <xf numFmtId="2" fontId="1" fillId="9" borderId="2" xfId="0" applyNumberFormat="1" applyFont="1" applyFill="1" applyBorder="1"/>
    <xf numFmtId="0" fontId="1" fillId="5" borderId="0" xfId="0" applyFont="1" applyFill="1"/>
    <xf numFmtId="2" fontId="1" fillId="5" borderId="0" xfId="0" applyNumberFormat="1" applyFont="1" applyFill="1"/>
    <xf numFmtId="0" fontId="1" fillId="8" borderId="2" xfId="0" applyFont="1" applyFill="1" applyBorder="1"/>
    <xf numFmtId="0" fontId="1" fillId="6" borderId="2" xfId="0" applyFont="1" applyFill="1" applyBorder="1"/>
    <xf numFmtId="2" fontId="1" fillId="6" borderId="2" xfId="0" applyNumberFormat="1" applyFont="1" applyFill="1" applyBorder="1"/>
    <xf numFmtId="164" fontId="1" fillId="9" borderId="2" xfId="0" applyNumberFormat="1" applyFont="1" applyFill="1" applyBorder="1"/>
    <xf numFmtId="165" fontId="1" fillId="12" borderId="2" xfId="0" applyNumberFormat="1" applyFont="1" applyFill="1" applyBorder="1"/>
    <xf numFmtId="0" fontId="1" fillId="12" borderId="2" xfId="0" applyFont="1" applyFill="1" applyBorder="1"/>
    <xf numFmtId="0" fontId="1" fillId="13" borderId="2" xfId="0" applyFont="1" applyFill="1" applyBorder="1"/>
    <xf numFmtId="2" fontId="1" fillId="13" borderId="2" xfId="0" applyNumberFormat="1" applyFont="1" applyFill="1" applyBorder="1"/>
    <xf numFmtId="0" fontId="1" fillId="10" borderId="2" xfId="0" applyFont="1" applyFill="1" applyBorder="1"/>
    <xf numFmtId="0" fontId="1" fillId="11" borderId="2" xfId="0" applyFont="1" applyFill="1" applyBorder="1"/>
    <xf numFmtId="0" fontId="1" fillId="2" borderId="0" xfId="0" applyFont="1" applyFill="1"/>
    <xf numFmtId="0" fontId="1" fillId="6" borderId="3" xfId="0" applyFont="1" applyFill="1" applyBorder="1"/>
    <xf numFmtId="10" fontId="1" fillId="0" borderId="2" xfId="0" applyNumberFormat="1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Changes in pH Levels in IMTA and Control Treatments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quality '!$U$7</c:f>
              <c:strCache>
                <c:ptCount val="1"/>
                <c:pt idx="0">
                  <c:v>IMTA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'water quality '!$T$8:$T$16</c:f>
              <c:numCache>
                <c:formatCode>General</c:formatCode>
                <c:ptCount val="9"/>
                <c:pt idx="0">
                  <c:v>1</c:v>
                </c:pt>
                <c:pt idx="2">
                  <c:v>2</c:v>
                </c:pt>
                <c:pt idx="4">
                  <c:v>3</c:v>
                </c:pt>
                <c:pt idx="6">
                  <c:v>4</c:v>
                </c:pt>
                <c:pt idx="8">
                  <c:v>5</c:v>
                </c:pt>
              </c:numCache>
            </c:numRef>
          </c:cat>
          <c:val>
            <c:numRef>
              <c:f>'water quality '!$U$8:$U$16</c:f>
              <c:numCache>
                <c:formatCode>General</c:formatCode>
                <c:ptCount val="9"/>
                <c:pt idx="0">
                  <c:v>8.19</c:v>
                </c:pt>
                <c:pt idx="2">
                  <c:v>8.1999999999999993</c:v>
                </c:pt>
                <c:pt idx="4">
                  <c:v>8.35</c:v>
                </c:pt>
                <c:pt idx="6">
                  <c:v>8.1199999999999992</c:v>
                </c:pt>
                <c:pt idx="8">
                  <c:v>8.2200000000000006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45-44DA-A860-351E1BCBAF7B}"/>
            </c:ext>
          </c:extLst>
        </c:ser>
        <c:ser>
          <c:idx val="1"/>
          <c:order val="1"/>
          <c:tx>
            <c:strRef>
              <c:f>'water quality '!$V$7</c:f>
              <c:strCache>
                <c:ptCount val="1"/>
                <c:pt idx="0">
                  <c:v>Monoculture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'water quality '!$T$8:$T$16</c:f>
              <c:numCache>
                <c:formatCode>General</c:formatCode>
                <c:ptCount val="9"/>
                <c:pt idx="0">
                  <c:v>1</c:v>
                </c:pt>
                <c:pt idx="2">
                  <c:v>2</c:v>
                </c:pt>
                <c:pt idx="4">
                  <c:v>3</c:v>
                </c:pt>
                <c:pt idx="6">
                  <c:v>4</c:v>
                </c:pt>
                <c:pt idx="8">
                  <c:v>5</c:v>
                </c:pt>
              </c:numCache>
            </c:numRef>
          </c:cat>
          <c:val>
            <c:numRef>
              <c:f>'water quality '!$V$8:$V$16</c:f>
              <c:numCache>
                <c:formatCode>General</c:formatCode>
                <c:ptCount val="9"/>
                <c:pt idx="0">
                  <c:v>8.15</c:v>
                </c:pt>
                <c:pt idx="2">
                  <c:v>8.23</c:v>
                </c:pt>
                <c:pt idx="4">
                  <c:v>8.3699999999999992</c:v>
                </c:pt>
                <c:pt idx="6">
                  <c:v>8.23</c:v>
                </c:pt>
                <c:pt idx="8">
                  <c:v>8.24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45-44DA-A860-351E1BCBA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7895536"/>
        <c:axId val="777891216"/>
      </c:barChart>
      <c:catAx>
        <c:axId val="777895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Sampling</a:t>
                </a:r>
                <a:r>
                  <a:rPr lang="en-US" baseline="0"/>
                  <a:t> </a:t>
                </a:r>
                <a:r>
                  <a:rPr lang="en-US"/>
                  <a:t>Weeks</a:t>
                </a:r>
              </a:p>
            </c:rich>
          </c:tx>
          <c:layout>
            <c:manualLayout>
              <c:xMode val="edge"/>
              <c:yMode val="edge"/>
              <c:x val="0.50034487653899651"/>
              <c:y val="0.773557117686592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891216"/>
        <c:crosses val="autoZero"/>
        <c:auto val="1"/>
        <c:lblAlgn val="ctr"/>
        <c:lblOffset val="100"/>
        <c:noMultiLvlLbl val="0"/>
      </c:catAx>
      <c:valAx>
        <c:axId val="77789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895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Variation of Total Dissolved Solids (mg/L) in IMTA and Control Treatments During the Experimental Period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'water quality '!$U$24</c:f>
              <c:strCache>
                <c:ptCount val="1"/>
                <c:pt idx="0">
                  <c:v>IMTA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'water quality '!$T$25:$T$33</c:f>
              <c:numCache>
                <c:formatCode>General</c:formatCode>
                <c:ptCount val="9"/>
                <c:pt idx="0">
                  <c:v>1</c:v>
                </c:pt>
                <c:pt idx="2">
                  <c:v>2</c:v>
                </c:pt>
                <c:pt idx="4">
                  <c:v>3</c:v>
                </c:pt>
                <c:pt idx="6">
                  <c:v>4</c:v>
                </c:pt>
                <c:pt idx="8">
                  <c:v>5</c:v>
                </c:pt>
              </c:numCache>
            </c:numRef>
          </c:cat>
          <c:val>
            <c:numRef>
              <c:f>'water quality '!$U$25:$U$33</c:f>
              <c:numCache>
                <c:formatCode>General</c:formatCode>
                <c:ptCount val="9"/>
                <c:pt idx="0">
                  <c:v>16.510000000000002</c:v>
                </c:pt>
                <c:pt idx="2">
                  <c:v>18.13</c:v>
                </c:pt>
                <c:pt idx="4">
                  <c:v>17.32</c:v>
                </c:pt>
                <c:pt idx="6">
                  <c:v>16.66</c:v>
                </c:pt>
                <c:pt idx="8">
                  <c:v>18.18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E8-45AD-A368-D160C64797F4}"/>
            </c:ext>
          </c:extLst>
        </c:ser>
        <c:ser>
          <c:idx val="1"/>
          <c:order val="1"/>
          <c:tx>
            <c:strRef>
              <c:f>'water quality '!$V$24</c:f>
              <c:strCache>
                <c:ptCount val="1"/>
                <c:pt idx="0">
                  <c:v>Monoculture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'water quality '!$T$25:$T$33</c:f>
              <c:numCache>
                <c:formatCode>General</c:formatCode>
                <c:ptCount val="9"/>
                <c:pt idx="0">
                  <c:v>1</c:v>
                </c:pt>
                <c:pt idx="2">
                  <c:v>2</c:v>
                </c:pt>
                <c:pt idx="4">
                  <c:v>3</c:v>
                </c:pt>
                <c:pt idx="6">
                  <c:v>4</c:v>
                </c:pt>
                <c:pt idx="8">
                  <c:v>5</c:v>
                </c:pt>
              </c:numCache>
            </c:numRef>
          </c:cat>
          <c:val>
            <c:numRef>
              <c:f>'water quality '!$V$25:$V$33</c:f>
              <c:numCache>
                <c:formatCode>General</c:formatCode>
                <c:ptCount val="9"/>
                <c:pt idx="0">
                  <c:v>16.510000000000002</c:v>
                </c:pt>
                <c:pt idx="2">
                  <c:v>18.579999999999998</c:v>
                </c:pt>
                <c:pt idx="4">
                  <c:v>17.309999999999999</c:v>
                </c:pt>
                <c:pt idx="6">
                  <c:v>16.989999999999998</c:v>
                </c:pt>
                <c:pt idx="8">
                  <c:v>18.93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E8-45AD-A368-D160C6479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7864816"/>
        <c:axId val="777869616"/>
      </c:barChart>
      <c:catAx>
        <c:axId val="7778648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869616"/>
        <c:crosses val="autoZero"/>
        <c:auto val="1"/>
        <c:lblAlgn val="ctr"/>
        <c:lblOffset val="100"/>
        <c:noMultiLvlLbl val="0"/>
      </c:catAx>
      <c:valAx>
        <c:axId val="77786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Sampling  </a:t>
                </a:r>
                <a:r>
                  <a:rPr lang="en-US" sz="1000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86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Changes in Salinity (ppt) in IMTA and Control Treatments Over the Experimental Period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'water quality '!$U$43</c:f>
              <c:strCache>
                <c:ptCount val="1"/>
                <c:pt idx="0">
                  <c:v>IMTA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'water quality '!$T$44:$T$48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'water quality '!$U$44:$U$48</c:f>
              <c:numCache>
                <c:formatCode>General</c:formatCode>
                <c:ptCount val="5"/>
                <c:pt idx="0">
                  <c:v>20.66</c:v>
                </c:pt>
                <c:pt idx="1">
                  <c:v>22.9</c:v>
                </c:pt>
                <c:pt idx="2">
                  <c:v>21.77</c:v>
                </c:pt>
                <c:pt idx="3">
                  <c:v>20.94</c:v>
                </c:pt>
                <c:pt idx="4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1A-4AA7-8912-7A9DEE6265E2}"/>
            </c:ext>
          </c:extLst>
        </c:ser>
        <c:ser>
          <c:idx val="1"/>
          <c:order val="1"/>
          <c:tx>
            <c:strRef>
              <c:f>'water quality '!$V$43</c:f>
              <c:strCache>
                <c:ptCount val="1"/>
                <c:pt idx="0">
                  <c:v>Monoculture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254F-467F-B828-1BECFE73C8AF}"/>
              </c:ext>
            </c:extLst>
          </c:dPt>
          <c:cat>
            <c:numRef>
              <c:f>'water quality '!$T$44:$T$48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'water quality '!$V$44:$V$48</c:f>
              <c:numCache>
                <c:formatCode>General</c:formatCode>
                <c:ptCount val="5"/>
                <c:pt idx="0">
                  <c:v>20.64</c:v>
                </c:pt>
                <c:pt idx="1">
                  <c:v>23.53</c:v>
                </c:pt>
                <c:pt idx="2">
                  <c:v>21.76</c:v>
                </c:pt>
                <c:pt idx="3">
                  <c:v>21.34</c:v>
                </c:pt>
                <c:pt idx="4">
                  <c:v>24.02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1A-4AA7-8912-7A9DEE626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7802416"/>
        <c:axId val="777801936"/>
      </c:lineChart>
      <c:catAx>
        <c:axId val="777802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Sampling</a:t>
                </a:r>
                <a:r>
                  <a:rPr lang="en-US" baseline="0"/>
                  <a:t> </a:t>
                </a: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801936"/>
        <c:crosses val="autoZero"/>
        <c:auto val="1"/>
        <c:lblAlgn val="ctr"/>
        <c:lblOffset val="100"/>
        <c:noMultiLvlLbl val="0"/>
      </c:catAx>
      <c:valAx>
        <c:axId val="77780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Salinity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80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sz="1400" b="0" i="0" u="none" strike="noStrike" baseline="0"/>
              <a:t>Variation of Water Temperature (°C) in IMTA and Control Treatments During the Experimental Period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quality '!$U$58</c:f>
              <c:strCache>
                <c:ptCount val="1"/>
                <c:pt idx="0">
                  <c:v>IMTA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numRef>
              <c:f>'water quality '!$T$59:$T$63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'water quality '!$U$59:$U$63</c:f>
              <c:numCache>
                <c:formatCode>General</c:formatCode>
                <c:ptCount val="5"/>
                <c:pt idx="0">
                  <c:v>28.2</c:v>
                </c:pt>
                <c:pt idx="1">
                  <c:v>26.37</c:v>
                </c:pt>
                <c:pt idx="2">
                  <c:v>25.67</c:v>
                </c:pt>
                <c:pt idx="3">
                  <c:v>28.23</c:v>
                </c:pt>
                <c:pt idx="4">
                  <c:v>28.1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58-4AFC-A57A-587CA465057A}"/>
            </c:ext>
          </c:extLst>
        </c:ser>
        <c:ser>
          <c:idx val="1"/>
          <c:order val="1"/>
          <c:tx>
            <c:strRef>
              <c:f>'water quality '!$V$58</c:f>
              <c:strCache>
                <c:ptCount val="1"/>
                <c:pt idx="0">
                  <c:v>Monoculture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numRef>
              <c:f>'water quality '!$T$59:$T$63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'water quality '!$V$59:$V$63</c:f>
              <c:numCache>
                <c:formatCode>General</c:formatCode>
                <c:ptCount val="5"/>
                <c:pt idx="0">
                  <c:v>28.67</c:v>
                </c:pt>
                <c:pt idx="1">
                  <c:v>26.6</c:v>
                </c:pt>
                <c:pt idx="2">
                  <c:v>25.9</c:v>
                </c:pt>
                <c:pt idx="3">
                  <c:v>28.1</c:v>
                </c:pt>
                <c:pt idx="4">
                  <c:v>28.1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58-4AFC-A57A-587CA4650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7919056"/>
        <c:axId val="777920976"/>
      </c:barChart>
      <c:catAx>
        <c:axId val="777919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Sampling 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920976"/>
        <c:crosses val="autoZero"/>
        <c:auto val="1"/>
        <c:lblAlgn val="ctr"/>
        <c:lblOffset val="100"/>
        <c:noMultiLvlLbl val="0"/>
      </c:catAx>
      <c:valAx>
        <c:axId val="77792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91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Variation of Dissolved Oxygen (mg/L) in IMTA and Control Treatments During the Study Period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'water quality '!$U$74</c:f>
              <c:strCache>
                <c:ptCount val="1"/>
                <c:pt idx="0">
                  <c:v>IMTA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'water quality '!$T$75:$T$79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'water quality '!$U$75:$U$79</c:f>
              <c:numCache>
                <c:formatCode>General</c:formatCode>
                <c:ptCount val="5"/>
                <c:pt idx="0">
                  <c:v>5.9</c:v>
                </c:pt>
                <c:pt idx="1">
                  <c:v>7.79</c:v>
                </c:pt>
                <c:pt idx="2">
                  <c:v>7.08</c:v>
                </c:pt>
                <c:pt idx="3">
                  <c:v>7.22</c:v>
                </c:pt>
                <c:pt idx="4">
                  <c:v>6.39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50-4C69-B0FE-3C47B5889B10}"/>
            </c:ext>
          </c:extLst>
        </c:ser>
        <c:ser>
          <c:idx val="1"/>
          <c:order val="1"/>
          <c:tx>
            <c:strRef>
              <c:f>'water quality '!$V$74</c:f>
              <c:strCache>
                <c:ptCount val="1"/>
                <c:pt idx="0">
                  <c:v>Monoculture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'water quality '!$T$75:$T$79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'water quality '!$V$75:$V$79</c:f>
              <c:numCache>
                <c:formatCode>General</c:formatCode>
                <c:ptCount val="5"/>
                <c:pt idx="0">
                  <c:v>4.8899999999999997</c:v>
                </c:pt>
                <c:pt idx="1">
                  <c:v>8.0500000000000007</c:v>
                </c:pt>
                <c:pt idx="2">
                  <c:v>7.64</c:v>
                </c:pt>
                <c:pt idx="3">
                  <c:v>7.68</c:v>
                </c:pt>
                <c:pt idx="4">
                  <c:v>5.71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50-4C69-B0FE-3C47B5889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7796656"/>
        <c:axId val="777797616"/>
      </c:lineChart>
      <c:catAx>
        <c:axId val="777796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Sampling 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797616"/>
        <c:crosses val="autoZero"/>
        <c:auto val="1"/>
        <c:lblAlgn val="ctr"/>
        <c:lblOffset val="100"/>
        <c:noMultiLvlLbl val="0"/>
      </c:catAx>
      <c:valAx>
        <c:axId val="77779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79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Changes in Electrical Conductivity (µS/cm) in IMTA and Control Treatments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09218994577446"/>
          <c:y val="0.16283227628766625"/>
          <c:w val="0.84471116962394133"/>
          <c:h val="0.54215363533946737"/>
        </c:manualLayout>
      </c:layout>
      <c:lineChart>
        <c:grouping val="standard"/>
        <c:varyColors val="0"/>
        <c:ser>
          <c:idx val="0"/>
          <c:order val="0"/>
          <c:tx>
            <c:strRef>
              <c:f>'water quality '!$U$91</c:f>
              <c:strCache>
                <c:ptCount val="1"/>
                <c:pt idx="0">
                  <c:v>IMTA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'water quality '!$T$92:$T$96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'water quality '!$U$92:$U$96</c:f>
              <c:numCache>
                <c:formatCode>General</c:formatCode>
                <c:ptCount val="5"/>
                <c:pt idx="0">
                  <c:v>24.33</c:v>
                </c:pt>
                <c:pt idx="1">
                  <c:v>26.67</c:v>
                </c:pt>
                <c:pt idx="2">
                  <c:v>25.47</c:v>
                </c:pt>
                <c:pt idx="3">
                  <c:v>24.33</c:v>
                </c:pt>
                <c:pt idx="4">
                  <c:v>26.73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5B-4782-94D7-15372F4BE39F}"/>
            </c:ext>
          </c:extLst>
        </c:ser>
        <c:ser>
          <c:idx val="1"/>
          <c:order val="1"/>
          <c:tx>
            <c:strRef>
              <c:f>'water quality '!$V$91</c:f>
              <c:strCache>
                <c:ptCount val="1"/>
                <c:pt idx="0">
                  <c:v>Monoculture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'water quality '!$T$92:$T$96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'water quality '!$V$92:$V$96</c:f>
              <c:numCache>
                <c:formatCode>General</c:formatCode>
                <c:ptCount val="5"/>
                <c:pt idx="0">
                  <c:v>24.27</c:v>
                </c:pt>
                <c:pt idx="1">
                  <c:v>27.33</c:v>
                </c:pt>
                <c:pt idx="2">
                  <c:v>25.47</c:v>
                </c:pt>
                <c:pt idx="3">
                  <c:v>25</c:v>
                </c:pt>
                <c:pt idx="4">
                  <c:v>27.8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5B-4782-94D7-15372F4BE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7843696"/>
        <c:axId val="777840336"/>
      </c:lineChart>
      <c:catAx>
        <c:axId val="777843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Sampling</a:t>
                </a:r>
                <a:r>
                  <a:rPr lang="en-US" baseline="0"/>
                  <a:t> </a:t>
                </a: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840336"/>
        <c:crosses val="autoZero"/>
        <c:auto val="1"/>
        <c:lblAlgn val="ctr"/>
        <c:lblOffset val="100"/>
        <c:noMultiLvlLbl val="0"/>
      </c:catAx>
      <c:valAx>
        <c:axId val="77784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Conductivity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84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Changes in Phosphate Concentration (mg/L) in IMTA and Control Treatments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quality '!$AJ$95</c:f>
              <c:strCache>
                <c:ptCount val="1"/>
                <c:pt idx="0">
                  <c:v>IMTA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'water quality '!$AI$96:$AI$97</c:f>
              <c:numCache>
                <c:formatCode>General</c:formatCode>
                <c:ptCount val="2"/>
                <c:pt idx="0">
                  <c:v>3</c:v>
                </c:pt>
                <c:pt idx="1">
                  <c:v>7</c:v>
                </c:pt>
              </c:numCache>
            </c:numRef>
          </c:cat>
          <c:val>
            <c:numRef>
              <c:f>'water quality '!$AJ$96:$AJ$97</c:f>
              <c:numCache>
                <c:formatCode>General</c:formatCode>
                <c:ptCount val="2"/>
                <c:pt idx="0">
                  <c:v>86.33</c:v>
                </c:pt>
                <c:pt idx="1">
                  <c:v>127.33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DC-4274-BD82-C890F6347121}"/>
            </c:ext>
          </c:extLst>
        </c:ser>
        <c:ser>
          <c:idx val="1"/>
          <c:order val="1"/>
          <c:tx>
            <c:strRef>
              <c:f>'water quality '!$AK$95</c:f>
              <c:strCache>
                <c:ptCount val="1"/>
                <c:pt idx="0">
                  <c:v>Monoculture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'water quality '!$AI$96:$AI$97</c:f>
              <c:numCache>
                <c:formatCode>General</c:formatCode>
                <c:ptCount val="2"/>
                <c:pt idx="0">
                  <c:v>3</c:v>
                </c:pt>
                <c:pt idx="1">
                  <c:v>7</c:v>
                </c:pt>
              </c:numCache>
            </c:numRef>
          </c:cat>
          <c:val>
            <c:numRef>
              <c:f>'water quality '!$AK$96:$AK$97</c:f>
              <c:numCache>
                <c:formatCode>General</c:formatCode>
                <c:ptCount val="2"/>
                <c:pt idx="0">
                  <c:v>98.33</c:v>
                </c:pt>
                <c:pt idx="1">
                  <c:v>70.67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DC-4274-BD82-C890F6347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7901776"/>
        <c:axId val="777885936"/>
      </c:barChart>
      <c:catAx>
        <c:axId val="777901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layout>
            <c:manualLayout>
              <c:xMode val="edge"/>
              <c:yMode val="edge"/>
              <c:x val="0.49073259849269102"/>
              <c:y val="0.782777997546808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885936"/>
        <c:crosses val="autoZero"/>
        <c:auto val="1"/>
        <c:lblAlgn val="ctr"/>
        <c:lblOffset val="100"/>
        <c:noMultiLvlLbl val="0"/>
      </c:catAx>
      <c:valAx>
        <c:axId val="77788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Phosphate</a:t>
                </a:r>
                <a:r>
                  <a:rPr lang="en-US" baseline="0"/>
                  <a:t> iron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90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Variation of Nitrite Concentration in IMTA and Control Treatments During the Experimental Period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'water quality '!$AJ$6</c:f>
              <c:strCache>
                <c:ptCount val="1"/>
                <c:pt idx="0">
                  <c:v>IMTA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'water quality '!$AI$7:$AI$8</c:f>
              <c:numCache>
                <c:formatCode>General</c:formatCode>
                <c:ptCount val="2"/>
                <c:pt idx="0">
                  <c:v>3</c:v>
                </c:pt>
                <c:pt idx="1">
                  <c:v>7</c:v>
                </c:pt>
              </c:numCache>
            </c:numRef>
          </c:cat>
          <c:val>
            <c:numRef>
              <c:f>'water quality '!$AJ$7:$AJ$8</c:f>
              <c:numCache>
                <c:formatCode>General</c:formatCode>
                <c:ptCount val="2"/>
                <c:pt idx="0">
                  <c:v>57.33</c:v>
                </c:pt>
                <c:pt idx="1">
                  <c:v>49.67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3A-4843-A666-D75A243FA651}"/>
            </c:ext>
          </c:extLst>
        </c:ser>
        <c:ser>
          <c:idx val="1"/>
          <c:order val="1"/>
          <c:tx>
            <c:strRef>
              <c:f>'water quality '!$AK$6</c:f>
              <c:strCache>
                <c:ptCount val="1"/>
                <c:pt idx="0">
                  <c:v>Monoculture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'water quality '!$AI$7:$AI$8</c:f>
              <c:numCache>
                <c:formatCode>General</c:formatCode>
                <c:ptCount val="2"/>
                <c:pt idx="0">
                  <c:v>3</c:v>
                </c:pt>
                <c:pt idx="1">
                  <c:v>7</c:v>
                </c:pt>
              </c:numCache>
            </c:numRef>
          </c:cat>
          <c:val>
            <c:numRef>
              <c:f>'water quality '!$AK$7:$AK$8</c:f>
              <c:numCache>
                <c:formatCode>General</c:formatCode>
                <c:ptCount val="2"/>
                <c:pt idx="0">
                  <c:v>62</c:v>
                </c:pt>
                <c:pt idx="1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3A-4843-A666-D75A243FA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25556064"/>
        <c:axId val="425562304"/>
      </c:barChart>
      <c:catAx>
        <c:axId val="4255560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562304"/>
        <c:crosses val="autoZero"/>
        <c:auto val="1"/>
        <c:lblAlgn val="ctr"/>
        <c:lblOffset val="100"/>
        <c:noMultiLvlLbl val="0"/>
      </c:catAx>
      <c:valAx>
        <c:axId val="425562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Nitrite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55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Variation of Sodium Nitrite Concentration  in IMTA and Control Treatments During the Experimental Period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quality '!$AJ$22</c:f>
              <c:strCache>
                <c:ptCount val="1"/>
                <c:pt idx="0">
                  <c:v>IMTA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'water quality '!$AI$23:$AI$24</c:f>
              <c:numCache>
                <c:formatCode>General</c:formatCode>
                <c:ptCount val="2"/>
                <c:pt idx="0">
                  <c:v>3</c:v>
                </c:pt>
                <c:pt idx="1">
                  <c:v>7</c:v>
                </c:pt>
              </c:numCache>
            </c:numRef>
          </c:cat>
          <c:val>
            <c:numRef>
              <c:f>'water quality '!$AJ$23:$AJ$24</c:f>
              <c:numCache>
                <c:formatCode>General</c:formatCode>
                <c:ptCount val="2"/>
                <c:pt idx="0">
                  <c:v>86</c:v>
                </c:pt>
                <c:pt idx="1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C3-4E86-AEF0-A23FAA70E4AB}"/>
            </c:ext>
          </c:extLst>
        </c:ser>
        <c:ser>
          <c:idx val="1"/>
          <c:order val="1"/>
          <c:tx>
            <c:strRef>
              <c:f>'water quality '!$AK$22</c:f>
              <c:strCache>
                <c:ptCount val="1"/>
                <c:pt idx="0">
                  <c:v>Monoculture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'water quality '!$AI$23:$AI$24</c:f>
              <c:numCache>
                <c:formatCode>General</c:formatCode>
                <c:ptCount val="2"/>
                <c:pt idx="0">
                  <c:v>3</c:v>
                </c:pt>
                <c:pt idx="1">
                  <c:v>7</c:v>
                </c:pt>
              </c:numCache>
            </c:numRef>
          </c:cat>
          <c:val>
            <c:numRef>
              <c:f>'water quality '!$AK$23:$AK$24</c:f>
              <c:numCache>
                <c:formatCode>General</c:formatCode>
                <c:ptCount val="2"/>
                <c:pt idx="0">
                  <c:v>105</c:v>
                </c:pt>
                <c:pt idx="1">
                  <c:v>73.33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C3-4E86-AEF0-A23FAA70E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7837936"/>
        <c:axId val="777824976"/>
      </c:barChart>
      <c:catAx>
        <c:axId val="777837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824976"/>
        <c:crosses val="autoZero"/>
        <c:auto val="1"/>
        <c:lblAlgn val="ctr"/>
        <c:lblOffset val="100"/>
        <c:noMultiLvlLbl val="0"/>
      </c:catAx>
      <c:valAx>
        <c:axId val="77782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Sodium</a:t>
                </a:r>
                <a:r>
                  <a:rPr lang="en-US" baseline="0"/>
                  <a:t> Nitrite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83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Changes in Nitrite Nitrogen in IMTA and Control Treatments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quality '!$AJ$37</c:f>
              <c:strCache>
                <c:ptCount val="1"/>
                <c:pt idx="0">
                  <c:v>IMTA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'water quality '!$AI$38:$AI$39</c:f>
              <c:numCache>
                <c:formatCode>General</c:formatCode>
                <c:ptCount val="2"/>
                <c:pt idx="0">
                  <c:v>3</c:v>
                </c:pt>
                <c:pt idx="1">
                  <c:v>7</c:v>
                </c:pt>
              </c:numCache>
            </c:numRef>
          </c:cat>
          <c:val>
            <c:numRef>
              <c:f>'water quality '!$AJ$38:$AJ$39</c:f>
              <c:numCache>
                <c:formatCode>General</c:formatCode>
                <c:ptCount val="2"/>
                <c:pt idx="0">
                  <c:v>17.329999999999998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C-46FB-B99F-D10017095502}"/>
            </c:ext>
          </c:extLst>
        </c:ser>
        <c:ser>
          <c:idx val="1"/>
          <c:order val="1"/>
          <c:tx>
            <c:strRef>
              <c:f>'water quality '!$AK$37</c:f>
              <c:strCache>
                <c:ptCount val="1"/>
                <c:pt idx="0">
                  <c:v>Monoculture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'water quality '!$AI$38:$AI$39</c:f>
              <c:numCache>
                <c:formatCode>General</c:formatCode>
                <c:ptCount val="2"/>
                <c:pt idx="0">
                  <c:v>3</c:v>
                </c:pt>
                <c:pt idx="1">
                  <c:v>7</c:v>
                </c:pt>
              </c:numCache>
            </c:numRef>
          </c:cat>
          <c:val>
            <c:numRef>
              <c:f>'water quality '!$AK$38:$AK$39</c:f>
              <c:numCache>
                <c:formatCode>General</c:formatCode>
                <c:ptCount val="2"/>
                <c:pt idx="0">
                  <c:v>21.5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6C-46FB-B99F-D10017095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7863856"/>
        <c:axId val="777865776"/>
      </c:barChart>
      <c:catAx>
        <c:axId val="777863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865776"/>
        <c:crosses val="autoZero"/>
        <c:auto val="1"/>
        <c:lblAlgn val="ctr"/>
        <c:lblOffset val="100"/>
        <c:noMultiLvlLbl val="0"/>
      </c:catAx>
      <c:valAx>
        <c:axId val="77786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Nitrite</a:t>
                </a:r>
                <a:r>
                  <a:rPr lang="en-US" baseline="0"/>
                  <a:t> Nitrogen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86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Changes in Phosphorus pentoxide Concentration  in IMTA and Control Treatments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'water quality '!$AJ$55</c:f>
              <c:strCache>
                <c:ptCount val="1"/>
                <c:pt idx="0">
                  <c:v>IMTA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numRef>
              <c:f>'water quality '!$AI$56:$AI$57</c:f>
              <c:numCache>
                <c:formatCode>General</c:formatCode>
                <c:ptCount val="2"/>
                <c:pt idx="0">
                  <c:v>3</c:v>
                </c:pt>
                <c:pt idx="1">
                  <c:v>7</c:v>
                </c:pt>
              </c:numCache>
            </c:numRef>
          </c:cat>
          <c:val>
            <c:numRef>
              <c:f>'water quality '!$AJ$56:$AJ$57</c:f>
              <c:numCache>
                <c:formatCode>General</c:formatCode>
                <c:ptCount val="2"/>
                <c:pt idx="0">
                  <c:v>64.33</c:v>
                </c:pt>
                <c:pt idx="1">
                  <c:v>95.33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B5-452B-A0DD-145725CE7ABC}"/>
            </c:ext>
          </c:extLst>
        </c:ser>
        <c:ser>
          <c:idx val="1"/>
          <c:order val="1"/>
          <c:tx>
            <c:strRef>
              <c:f>'water quality '!$AK$55</c:f>
              <c:strCache>
                <c:ptCount val="1"/>
                <c:pt idx="0">
                  <c:v>Monoculture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'water quality '!$AI$56:$AI$57</c:f>
              <c:numCache>
                <c:formatCode>General</c:formatCode>
                <c:ptCount val="2"/>
                <c:pt idx="0">
                  <c:v>3</c:v>
                </c:pt>
                <c:pt idx="1">
                  <c:v>7</c:v>
                </c:pt>
              </c:numCache>
            </c:numRef>
          </c:cat>
          <c:val>
            <c:numRef>
              <c:f>'water quality '!$AK$56:$AK$57</c:f>
              <c:numCache>
                <c:formatCode>General</c:formatCode>
                <c:ptCount val="2"/>
                <c:pt idx="0">
                  <c:v>73.67</c:v>
                </c:pt>
                <c:pt idx="1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B5-452B-A0DD-145725CE7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77836016"/>
        <c:axId val="777835536"/>
      </c:barChart>
      <c:catAx>
        <c:axId val="7778360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835536"/>
        <c:crosses val="autoZero"/>
        <c:auto val="1"/>
        <c:lblAlgn val="ctr"/>
        <c:lblOffset val="100"/>
        <c:noMultiLvlLbl val="0"/>
      </c:catAx>
      <c:valAx>
        <c:axId val="777835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Phosphorus</a:t>
                </a:r>
                <a:r>
                  <a:rPr lang="en-US" baseline="0"/>
                  <a:t> pentoxide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83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Variation of Phosphorus in IMTA and Control Treatments During the Experimental Period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quality '!$AJ$76</c:f>
              <c:strCache>
                <c:ptCount val="1"/>
                <c:pt idx="0">
                  <c:v>IMTA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'water quality '!$AI$77:$AI$79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</c:numCache>
            </c:numRef>
          </c:cat>
          <c:val>
            <c:numRef>
              <c:f>'water quality '!$AJ$77:$AJ$79</c:f>
              <c:numCache>
                <c:formatCode>General</c:formatCode>
                <c:ptCount val="3"/>
                <c:pt idx="0">
                  <c:v>28</c:v>
                </c:pt>
                <c:pt idx="1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A6-49E1-BCB1-3D7EE21405F2}"/>
            </c:ext>
          </c:extLst>
        </c:ser>
        <c:ser>
          <c:idx val="1"/>
          <c:order val="1"/>
          <c:tx>
            <c:strRef>
              <c:f>'water quality '!$AK$76</c:f>
              <c:strCache>
                <c:ptCount val="1"/>
                <c:pt idx="0">
                  <c:v>Monoculture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'water quality '!$AI$77:$AI$79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</c:numCache>
            </c:numRef>
          </c:cat>
          <c:val>
            <c:numRef>
              <c:f>'water quality '!$AK$77:$AK$79</c:f>
              <c:numCache>
                <c:formatCode>General</c:formatCode>
                <c:ptCount val="3"/>
                <c:pt idx="0">
                  <c:v>32</c:v>
                </c:pt>
                <c:pt idx="1">
                  <c:v>22.67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A6-49E1-BCB1-3D7EE2140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7857616"/>
        <c:axId val="777866256"/>
      </c:barChart>
      <c:catAx>
        <c:axId val="777857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866256"/>
        <c:crosses val="autoZero"/>
        <c:auto val="1"/>
        <c:lblAlgn val="ctr"/>
        <c:lblOffset val="100"/>
        <c:noMultiLvlLbl val="0"/>
      </c:catAx>
      <c:valAx>
        <c:axId val="77786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Phosphorus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85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Variation of Mean Weight (g) in IMTA and Monoculture Systems Over the Experimental Period.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'sea cucumber growth '!$K$6</c:f>
              <c:strCache>
                <c:ptCount val="1"/>
                <c:pt idx="0">
                  <c:v>mean weight IMTA 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'sea cucumber growth '!$J$7:$J$11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'sea cucumber growth '!$K$7:$K$11</c:f>
              <c:numCache>
                <c:formatCode>General</c:formatCode>
                <c:ptCount val="5"/>
                <c:pt idx="0">
                  <c:v>331.83</c:v>
                </c:pt>
                <c:pt idx="1">
                  <c:v>272.3</c:v>
                </c:pt>
                <c:pt idx="2">
                  <c:v>345</c:v>
                </c:pt>
                <c:pt idx="3">
                  <c:v>333.67</c:v>
                </c:pt>
                <c:pt idx="4">
                  <c:v>408.43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16-4E91-AD7C-01309D3EF688}"/>
            </c:ext>
          </c:extLst>
        </c:ser>
        <c:ser>
          <c:idx val="1"/>
          <c:order val="1"/>
          <c:tx>
            <c:strRef>
              <c:f>'sea cucumber growth '!$L$6</c:f>
              <c:strCache>
                <c:ptCount val="1"/>
                <c:pt idx="0">
                  <c:v>mean weight Monoculture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'sea cucumber growth '!$J$7:$J$11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'sea cucumber growth '!$L$7:$L$11</c:f>
              <c:numCache>
                <c:formatCode>General</c:formatCode>
                <c:ptCount val="5"/>
                <c:pt idx="0">
                  <c:v>310.8</c:v>
                </c:pt>
                <c:pt idx="1">
                  <c:v>281.64</c:v>
                </c:pt>
                <c:pt idx="2">
                  <c:v>364.6</c:v>
                </c:pt>
                <c:pt idx="3">
                  <c:v>226.56</c:v>
                </c:pt>
                <c:pt idx="4">
                  <c:v>351.25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16-4E91-AD7C-01309D3EF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77825456"/>
        <c:axId val="777834096"/>
      </c:barChart>
      <c:catAx>
        <c:axId val="777825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Sampling Weeks</a:t>
                </a:r>
                <a:r>
                  <a:rPr lang="en-US" baseline="0"/>
                  <a:t>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50756414341511702"/>
              <c:y val="0.797919911910739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834096"/>
        <c:crosses val="autoZero"/>
        <c:auto val="1"/>
        <c:lblAlgn val="ctr"/>
        <c:lblOffset val="100"/>
        <c:noMultiLvlLbl val="0"/>
      </c:catAx>
      <c:valAx>
        <c:axId val="77783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Biomass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82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Variation of Mean Length (cm) in IMTA and Monoculture Systems Over the Experimental Period.</a:t>
            </a:r>
            <a:endParaRPr lang="en-US"/>
          </a:p>
        </c:rich>
      </c:tx>
      <c:layout>
        <c:manualLayout>
          <c:xMode val="edge"/>
          <c:yMode val="edge"/>
          <c:x val="0.44217677498967228"/>
          <c:y val="2.63921239252223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'sea cucumber growth '!$K$18</c:f>
              <c:strCache>
                <c:ptCount val="1"/>
                <c:pt idx="0">
                  <c:v>mean length IMTA 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'sea cucumber growth '!$J$19:$J$23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'sea cucumber growth '!$K$19:$K$23</c:f>
              <c:numCache>
                <c:formatCode>General</c:formatCode>
                <c:ptCount val="5"/>
                <c:pt idx="0">
                  <c:v>16.579999999999998</c:v>
                </c:pt>
                <c:pt idx="1">
                  <c:v>14.9</c:v>
                </c:pt>
                <c:pt idx="2">
                  <c:v>17.38</c:v>
                </c:pt>
                <c:pt idx="3">
                  <c:v>16.829999999999998</c:v>
                </c:pt>
                <c:pt idx="4">
                  <c:v>17.29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A1-48FF-87B5-C3CCFE6B2029}"/>
            </c:ext>
          </c:extLst>
        </c:ser>
        <c:ser>
          <c:idx val="1"/>
          <c:order val="1"/>
          <c:tx>
            <c:strRef>
              <c:f>'sea cucumber growth '!$L$18</c:f>
              <c:strCache>
                <c:ptCount val="1"/>
                <c:pt idx="0">
                  <c:v>mean length Monoculture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'sea cucumber growth '!$J$19:$J$23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'sea cucumber growth '!$L$19:$L$23</c:f>
              <c:numCache>
                <c:formatCode>General</c:formatCode>
                <c:ptCount val="5"/>
                <c:pt idx="0">
                  <c:v>15.5</c:v>
                </c:pt>
                <c:pt idx="1">
                  <c:v>15.43</c:v>
                </c:pt>
                <c:pt idx="2">
                  <c:v>16.7</c:v>
                </c:pt>
                <c:pt idx="3">
                  <c:v>14.78</c:v>
                </c:pt>
                <c:pt idx="4">
                  <c:v>16.690000000000001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A1-48FF-87B5-C3CCFE6B2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7892176"/>
        <c:axId val="777894096"/>
      </c:lineChart>
      <c:catAx>
        <c:axId val="777892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894096"/>
        <c:crosses val="autoZero"/>
        <c:auto val="1"/>
        <c:lblAlgn val="ctr"/>
        <c:lblOffset val="100"/>
        <c:noMultiLvlLbl val="0"/>
      </c:catAx>
      <c:valAx>
        <c:axId val="77789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89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'sea cucumber growth '!$D$107</c:f>
              <c:strCache>
                <c:ptCount val="1"/>
                <c:pt idx="0">
                  <c:v>AGR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634-4028-A0C7-B26CF756F8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176-49B2-A2D8-8438C3B66E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'sea cucumber growth '!$E$106:$F$106</c:f>
              <c:strCache>
                <c:ptCount val="2"/>
                <c:pt idx="0">
                  <c:v>IMTA</c:v>
                </c:pt>
                <c:pt idx="1">
                  <c:v>Monoculture</c:v>
                </c:pt>
              </c:strCache>
            </c:strRef>
          </c:cat>
          <c:val>
            <c:numRef>
              <c:f>'sea cucumber growth '!$E$107:$F$107</c:f>
              <c:numCache>
                <c:formatCode>General</c:formatCode>
                <c:ptCount val="2"/>
                <c:pt idx="0">
                  <c:v>2.3199999999999998</c:v>
                </c:pt>
                <c:pt idx="1">
                  <c:v>1.23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34-4028-A0C7-B26CF756F86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'sea cucumber growth '!$D$112</c:f>
              <c:strCache>
                <c:ptCount val="1"/>
                <c:pt idx="0">
                  <c:v>SGR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E35-4A44-B146-B998DC9A3B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B90-45A6-AD04-407DBED198A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'sea cucumber growth '!$E$111:$F$111</c:f>
              <c:strCache>
                <c:ptCount val="2"/>
                <c:pt idx="0">
                  <c:v>IMTA</c:v>
                </c:pt>
                <c:pt idx="1">
                  <c:v>Monoculture</c:v>
                </c:pt>
              </c:strCache>
            </c:strRef>
          </c:cat>
          <c:val>
            <c:numRef>
              <c:f>'sea cucumber growth '!$E$112:$F$112</c:f>
              <c:numCache>
                <c:formatCode>General</c:formatCode>
                <c:ptCount val="2"/>
                <c:pt idx="0">
                  <c:v>0.63</c:v>
                </c:pt>
                <c:pt idx="1">
                  <c:v>0.37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35-4A44-B146-B998DC9A3BB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Variations in Biomass Accumulation within Experimental Replicates during the Study Period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'sea weed growth '!$D$50</c:f>
              <c:strCache>
                <c:ptCount val="1"/>
                <c:pt idx="0">
                  <c:v>Initial biomass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'sea weed growth '!$C$51:$C$53</c:f>
              <c:strCache>
                <c:ptCount val="3"/>
                <c:pt idx="0">
                  <c:v>Rep 1</c:v>
                </c:pt>
                <c:pt idx="1">
                  <c:v>Rep 2</c:v>
                </c:pt>
                <c:pt idx="2">
                  <c:v>Rep 3</c:v>
                </c:pt>
              </c:strCache>
            </c:strRef>
          </c:cat>
          <c:val>
            <c:numRef>
              <c:f>'sea weed growth '!$D$51:$D$53</c:f>
              <c:numCache>
                <c:formatCode>General</c:formatCode>
                <c:ptCount val="3"/>
                <c:pt idx="0">
                  <c:v>509</c:v>
                </c:pt>
                <c:pt idx="1">
                  <c:v>544</c:v>
                </c:pt>
                <c:pt idx="2">
                  <c:v>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5B-4191-9C68-D3E95154494C}"/>
            </c:ext>
          </c:extLst>
        </c:ser>
        <c:ser>
          <c:idx val="1"/>
          <c:order val="1"/>
          <c:tx>
            <c:strRef>
              <c:f>'sea weed growth '!$E$50</c:f>
              <c:strCache>
                <c:ptCount val="1"/>
                <c:pt idx="0">
                  <c:v>Final biomass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'sea weed growth '!$C$51:$C$53</c:f>
              <c:strCache>
                <c:ptCount val="3"/>
                <c:pt idx="0">
                  <c:v>Rep 1</c:v>
                </c:pt>
                <c:pt idx="1">
                  <c:v>Rep 2</c:v>
                </c:pt>
                <c:pt idx="2">
                  <c:v>Rep 3</c:v>
                </c:pt>
              </c:strCache>
            </c:strRef>
          </c:cat>
          <c:val>
            <c:numRef>
              <c:f>'sea weed growth '!$E$51:$E$53</c:f>
              <c:numCache>
                <c:formatCode>General</c:formatCode>
                <c:ptCount val="3"/>
                <c:pt idx="0">
                  <c:v>671</c:v>
                </c:pt>
                <c:pt idx="1">
                  <c:v>710</c:v>
                </c:pt>
                <c:pt idx="2">
                  <c:v>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5B-4191-9C68-D3E951544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7864336"/>
        <c:axId val="777863376"/>
      </c:barChart>
      <c:catAx>
        <c:axId val="777864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Replicates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863376"/>
        <c:crosses val="autoZero"/>
        <c:auto val="1"/>
        <c:lblAlgn val="ctr"/>
        <c:lblOffset val="100"/>
        <c:noMultiLvlLbl val="0"/>
      </c:catAx>
      <c:valAx>
        <c:axId val="77786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Biomass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86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'sea weed growth '!$H$71</c:f>
              <c:strCache>
                <c:ptCount val="1"/>
                <c:pt idx="0">
                  <c:v>survival 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06F-41FB-9732-346ACA46D78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02C-4C76-A1A0-0ED79CB8BA49}"/>
              </c:ext>
            </c:extLst>
          </c:dPt>
          <c:dPt>
            <c:idx val="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06F-41FB-9732-346ACA46D78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'sea weed growth '!$G$72:$G$74</c:f>
              <c:strCache>
                <c:ptCount val="3"/>
                <c:pt idx="0">
                  <c:v>Rep 1</c:v>
                </c:pt>
                <c:pt idx="1">
                  <c:v>Rep 2</c:v>
                </c:pt>
                <c:pt idx="2">
                  <c:v>Rep 3</c:v>
                </c:pt>
              </c:strCache>
            </c:strRef>
          </c:cat>
          <c:val>
            <c:numRef>
              <c:f>'sea weed growth '!$H$72:$H$74</c:f>
              <c:numCache>
                <c:formatCode>General</c:formatCode>
                <c:ptCount val="3"/>
                <c:pt idx="0">
                  <c:v>90</c:v>
                </c:pt>
                <c:pt idx="1">
                  <c:v>90</c:v>
                </c:pt>
                <c:pt idx="2">
                  <c:v>83.33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6F-41FB-9732-346ACA46D78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349752341747156"/>
          <c:y val="0.93805094081719143"/>
          <c:w val="0.33694781740016982"/>
          <c:h val="6.19490913320618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603606</xdr:colOff>
      <xdr:row>2</xdr:row>
      <xdr:rowOff>15411</xdr:rowOff>
    </xdr:from>
    <xdr:to>
      <xdr:col>31</xdr:col>
      <xdr:colOff>312505</xdr:colOff>
      <xdr:row>16</xdr:row>
      <xdr:rowOff>53083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57B051-FAF7-7E30-7373-B03E087D20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47089</xdr:colOff>
      <xdr:row>19</xdr:row>
      <xdr:rowOff>118153</xdr:rowOff>
    </xdr:from>
    <xdr:to>
      <xdr:col>31</xdr:col>
      <xdr:colOff>363876</xdr:colOff>
      <xdr:row>33</xdr:row>
      <xdr:rowOff>155825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4822A1B-5403-72FC-FA18-9DE3C2FE74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29965</xdr:colOff>
      <xdr:row>36</xdr:row>
      <xdr:rowOff>109591</xdr:rowOff>
    </xdr:from>
    <xdr:to>
      <xdr:col>31</xdr:col>
      <xdr:colOff>346752</xdr:colOff>
      <xdr:row>51</xdr:row>
      <xdr:rowOff>35959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7DBB36-BA8D-CC5A-1914-D08289151F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55651</xdr:colOff>
      <xdr:row>53</xdr:row>
      <xdr:rowOff>152400</xdr:rowOff>
    </xdr:from>
    <xdr:to>
      <xdr:col>31</xdr:col>
      <xdr:colOff>372438</xdr:colOff>
      <xdr:row>68</xdr:row>
      <xdr:rowOff>78768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DDEE929-4F50-AAE5-75A9-2A0A903E81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72775</xdr:colOff>
      <xdr:row>70</xdr:row>
      <xdr:rowOff>169523</xdr:rowOff>
    </xdr:from>
    <xdr:to>
      <xdr:col>31</xdr:col>
      <xdr:colOff>389562</xdr:colOff>
      <xdr:row>85</xdr:row>
      <xdr:rowOff>78768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47B5291-B251-144E-D057-2CD97668D4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12748</xdr:colOff>
      <xdr:row>89</xdr:row>
      <xdr:rowOff>49374</xdr:rowOff>
    </xdr:from>
    <xdr:to>
      <xdr:col>31</xdr:col>
      <xdr:colOff>329535</xdr:colOff>
      <xdr:row>103</xdr:row>
      <xdr:rowOff>138416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71F8199-C3A6-BCD6-64FE-4A16D749F6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40</xdr:col>
      <xdr:colOff>221471</xdr:colOff>
      <xdr:row>88</xdr:row>
      <xdr:rowOff>146401</xdr:rowOff>
    </xdr:from>
    <xdr:to>
      <xdr:col>49</xdr:col>
      <xdr:colOff>253220</xdr:colOff>
      <xdr:row>103</xdr:row>
      <xdr:rowOff>58525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417425F-91BA-90E6-C2B7-47630CDC62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39</xdr:col>
      <xdr:colOff>341057</xdr:colOff>
      <xdr:row>1</xdr:row>
      <xdr:rowOff>126859</xdr:rowOff>
    </xdr:from>
    <xdr:to>
      <xdr:col>48</xdr:col>
      <xdr:colOff>98323</xdr:colOff>
      <xdr:row>12</xdr:row>
      <xdr:rowOff>122902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CDA3F4F-F0D2-6476-FBAF-AA0ACAFA8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39</xdr:col>
      <xdr:colOff>403842</xdr:colOff>
      <xdr:row>15</xdr:row>
      <xdr:rowOff>114375</xdr:rowOff>
    </xdr:from>
    <xdr:to>
      <xdr:col>48</xdr:col>
      <xdr:colOff>211830</xdr:colOff>
      <xdr:row>28</xdr:row>
      <xdr:rowOff>18827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0BEE5DA-EA57-C719-5E3E-B7229081C8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39</xdr:col>
      <xdr:colOff>441980</xdr:colOff>
      <xdr:row>31</xdr:row>
      <xdr:rowOff>126243</xdr:rowOff>
    </xdr:from>
    <xdr:to>
      <xdr:col>48</xdr:col>
      <xdr:colOff>374953</xdr:colOff>
      <xdr:row>45</xdr:row>
      <xdr:rowOff>98323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E02A161-1166-7175-8A38-CD05B5D56B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39</xdr:col>
      <xdr:colOff>610079</xdr:colOff>
      <xdr:row>49</xdr:row>
      <xdr:rowOff>89858</xdr:rowOff>
    </xdr:from>
    <xdr:to>
      <xdr:col>48</xdr:col>
      <xdr:colOff>484591</xdr:colOff>
      <xdr:row>62</xdr:row>
      <xdr:rowOff>158407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75E00BE-ECAD-B7F8-0083-F9FC4E30A0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40</xdr:col>
      <xdr:colOff>181834</xdr:colOff>
      <xdr:row>68</xdr:row>
      <xdr:rowOff>91028</xdr:rowOff>
    </xdr:from>
    <xdr:to>
      <xdr:col>49</xdr:col>
      <xdr:colOff>196645</xdr:colOff>
      <xdr:row>82</xdr:row>
      <xdr:rowOff>122902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AA94647-76A3-8651-7726-A5538E09E0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1123501</xdr:colOff>
      <xdr:row>2</xdr:row>
      <xdr:rowOff>127446</xdr:rowOff>
    </xdr:from>
    <xdr:to>
      <xdr:col>19</xdr:col>
      <xdr:colOff>398491</xdr:colOff>
      <xdr:row>17</xdr:row>
      <xdr:rowOff>98876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194527-3EAB-B091-0B86-05153AB118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45087</xdr:colOff>
      <xdr:row>23</xdr:row>
      <xdr:rowOff>132519</xdr:rowOff>
    </xdr:from>
    <xdr:to>
      <xdr:col>25</xdr:col>
      <xdr:colOff>381766</xdr:colOff>
      <xdr:row>38</xdr:row>
      <xdr:rowOff>101446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B3FC71-2751-64F9-8785-9D90E1A598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29765</xdr:colOff>
      <xdr:row>115</xdr:row>
      <xdr:rowOff>159224</xdr:rowOff>
    </xdr:from>
    <xdr:to>
      <xdr:col>10</xdr:col>
      <xdr:colOff>631520</xdr:colOff>
      <xdr:row>128</xdr:row>
      <xdr:rowOff>155787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5BC830-A217-539F-46C1-843F398AF9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53933</xdr:colOff>
      <xdr:row>116</xdr:row>
      <xdr:rowOff>8530</xdr:rowOff>
    </xdr:from>
    <xdr:to>
      <xdr:col>5</xdr:col>
      <xdr:colOff>431245</xdr:colOff>
      <xdr:row>128</xdr:row>
      <xdr:rowOff>106029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C6F49EE-174C-7388-D3F3-D646397AF3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1127760</xdr:colOff>
      <xdr:row>45</xdr:row>
      <xdr:rowOff>179070</xdr:rowOff>
    </xdr:from>
    <xdr:to>
      <xdr:col>11</xdr:col>
      <xdr:colOff>236220</xdr:colOff>
      <xdr:row>59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6FB44D-CF19-7D7C-FA94-1FAAD11B44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269645</xdr:colOff>
      <xdr:row>69</xdr:row>
      <xdr:rowOff>136064</xdr:rowOff>
    </xdr:from>
    <xdr:to>
      <xdr:col>13</xdr:col>
      <xdr:colOff>400274</xdr:colOff>
      <xdr:row>86</xdr:row>
      <xdr:rowOff>52937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0C48F6-89C9-0FCE-F939-64914C2987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F05A3-5343-42AB-AA28-755CE184B81D}">
  <dimension ref="B3:BF99"/>
  <sheetViews>
    <sheetView topLeftCell="A6" zoomScale="26" zoomScaleNormal="40" workbookViewId="0">
      <selection activeCell="N116" sqref="N116"/>
    </sheetView>
  </sheetViews>
  <sheetFormatPr defaultRowHeight="15.6" x14ac:dyDescent="0.3"/>
  <cols>
    <col min="1" max="1" width="8.88671875" style="1"/>
    <col min="2" max="2" width="15.5546875" style="1" customWidth="1"/>
    <col min="3" max="3" width="14.44140625" style="1" customWidth="1"/>
    <col min="4" max="4" width="14.77734375" style="1" customWidth="1"/>
    <col min="5" max="5" width="15.77734375" style="1" customWidth="1"/>
    <col min="6" max="6" width="13.21875" style="1" customWidth="1"/>
    <col min="7" max="7" width="14.21875" style="1" customWidth="1"/>
    <col min="8" max="8" width="15.5546875" style="1" customWidth="1"/>
    <col min="9" max="10" width="8.88671875" style="1"/>
    <col min="11" max="11" width="17.6640625" style="1" customWidth="1"/>
    <col min="12" max="12" width="16.44140625" style="1" customWidth="1"/>
    <col min="13" max="13" width="14" style="1" customWidth="1"/>
    <col min="14" max="14" width="14.44140625" style="1" customWidth="1"/>
    <col min="15" max="15" width="15.77734375" style="1" customWidth="1"/>
    <col min="16" max="16" width="14.33203125" style="1" customWidth="1"/>
    <col min="17" max="17" width="16" style="1" customWidth="1"/>
    <col min="18" max="19" width="8.88671875" style="1"/>
    <col min="20" max="20" width="16.77734375" style="1" customWidth="1"/>
    <col min="21" max="21" width="17.88671875" style="1" customWidth="1"/>
    <col min="22" max="22" width="17.6640625" style="1" customWidth="1"/>
    <col min="23" max="34" width="8.88671875" style="1"/>
    <col min="35" max="35" width="13.109375" style="1" customWidth="1"/>
    <col min="36" max="36" width="12.21875" style="1" customWidth="1"/>
    <col min="37" max="37" width="12.88671875" style="1" customWidth="1"/>
    <col min="38" max="51" width="8.88671875" style="1"/>
    <col min="52" max="52" width="15.88671875" style="1" customWidth="1"/>
    <col min="53" max="53" width="20.21875" style="1" customWidth="1"/>
    <col min="54" max="54" width="21.6640625" style="1" customWidth="1"/>
    <col min="55" max="55" width="24" style="1" customWidth="1"/>
    <col min="56" max="56" width="19.109375" style="1" customWidth="1"/>
    <col min="57" max="57" width="21.44140625" style="1" customWidth="1"/>
    <col min="58" max="58" width="19.21875" style="1" customWidth="1"/>
    <col min="59" max="16384" width="8.88671875" style="1"/>
  </cols>
  <sheetData>
    <row r="3" spans="2:58" x14ac:dyDescent="0.3">
      <c r="B3" s="9" t="s">
        <v>84</v>
      </c>
    </row>
    <row r="4" spans="2:58" x14ac:dyDescent="0.3">
      <c r="B4" s="1" t="s">
        <v>85</v>
      </c>
    </row>
    <row r="5" spans="2:58" x14ac:dyDescent="0.3">
      <c r="B5" s="10" t="s">
        <v>86</v>
      </c>
      <c r="C5" s="10" t="s">
        <v>87</v>
      </c>
      <c r="D5" s="10" t="s">
        <v>88</v>
      </c>
      <c r="E5" s="10" t="s">
        <v>89</v>
      </c>
      <c r="F5" s="10" t="s">
        <v>90</v>
      </c>
      <c r="G5" s="10" t="s">
        <v>91</v>
      </c>
      <c r="H5" s="10" t="s">
        <v>92</v>
      </c>
      <c r="AI5" s="1" t="s">
        <v>158</v>
      </c>
      <c r="AZ5" s="2" t="s">
        <v>23</v>
      </c>
      <c r="BA5" s="2" t="s">
        <v>87</v>
      </c>
      <c r="BB5" s="2" t="s">
        <v>174</v>
      </c>
      <c r="BC5" s="2" t="s">
        <v>90</v>
      </c>
      <c r="BD5" s="2" t="s">
        <v>153</v>
      </c>
      <c r="BE5" s="2" t="s">
        <v>156</v>
      </c>
      <c r="BF5" s="2" t="s">
        <v>155</v>
      </c>
    </row>
    <row r="6" spans="2:58" x14ac:dyDescent="0.3">
      <c r="B6" s="5" t="s">
        <v>93</v>
      </c>
      <c r="C6" s="5">
        <v>8.1300000000000008</v>
      </c>
      <c r="D6" s="5">
        <v>16.579999999999998</v>
      </c>
      <c r="E6" s="5">
        <v>20.74</v>
      </c>
      <c r="F6" s="5">
        <v>27.9</v>
      </c>
      <c r="G6" s="5">
        <v>6.32</v>
      </c>
      <c r="H6" s="5">
        <v>24.4</v>
      </c>
      <c r="T6" s="1" t="s">
        <v>87</v>
      </c>
      <c r="AI6" s="2"/>
      <c r="AJ6" s="2" t="s">
        <v>18</v>
      </c>
      <c r="AK6" s="2" t="s">
        <v>19</v>
      </c>
      <c r="AZ6" s="2" t="s">
        <v>18</v>
      </c>
      <c r="BA6" s="2" t="s">
        <v>175</v>
      </c>
      <c r="BB6" s="2"/>
      <c r="BC6" s="2"/>
      <c r="BD6" s="2"/>
      <c r="BE6" s="2"/>
      <c r="BF6" s="2"/>
    </row>
    <row r="7" spans="2:58" x14ac:dyDescent="0.3">
      <c r="B7" s="5" t="s">
        <v>94</v>
      </c>
      <c r="C7" s="5">
        <v>8.17</v>
      </c>
      <c r="D7" s="5">
        <v>16.420000000000002</v>
      </c>
      <c r="E7" s="5">
        <v>20.55</v>
      </c>
      <c r="F7" s="5">
        <v>28.4</v>
      </c>
      <c r="G7" s="11">
        <v>5.6959999999999997</v>
      </c>
      <c r="H7" s="5">
        <v>24.3</v>
      </c>
      <c r="T7" s="2"/>
      <c r="U7" s="2" t="s">
        <v>18</v>
      </c>
      <c r="V7" s="2" t="s">
        <v>19</v>
      </c>
      <c r="AI7" s="2">
        <v>3</v>
      </c>
      <c r="AJ7" s="2">
        <v>57.33</v>
      </c>
      <c r="AK7" s="2">
        <v>62</v>
      </c>
      <c r="AZ7" s="2" t="s">
        <v>19</v>
      </c>
      <c r="BA7" s="2"/>
      <c r="BB7" s="2"/>
      <c r="BC7" s="2"/>
      <c r="BD7" s="2"/>
      <c r="BE7" s="2"/>
      <c r="BF7" s="2"/>
    </row>
    <row r="8" spans="2:58" x14ac:dyDescent="0.3">
      <c r="B8" s="5" t="s">
        <v>95</v>
      </c>
      <c r="C8" s="5">
        <v>8.2799999999999994</v>
      </c>
      <c r="D8" s="5">
        <v>16.54</v>
      </c>
      <c r="E8" s="5">
        <v>20.69</v>
      </c>
      <c r="F8" s="5">
        <v>28.3</v>
      </c>
      <c r="G8" s="5">
        <v>5.69</v>
      </c>
      <c r="H8" s="5">
        <v>24.3</v>
      </c>
      <c r="T8" s="2">
        <v>1</v>
      </c>
      <c r="U8" s="2">
        <v>8.19</v>
      </c>
      <c r="V8" s="2">
        <v>8.15</v>
      </c>
      <c r="AI8" s="2">
        <v>7</v>
      </c>
      <c r="AJ8" s="2">
        <v>49.67</v>
      </c>
      <c r="AK8" s="2">
        <v>49</v>
      </c>
      <c r="AZ8" s="2" t="s">
        <v>181</v>
      </c>
      <c r="BA8" s="2"/>
      <c r="BB8" s="2"/>
      <c r="BC8" s="2"/>
      <c r="BD8" s="2"/>
      <c r="BE8" s="2"/>
      <c r="BF8" s="2"/>
    </row>
    <row r="9" spans="2:58" x14ac:dyDescent="0.3">
      <c r="B9" s="12" t="s">
        <v>8</v>
      </c>
      <c r="C9" s="13">
        <f t="shared" ref="C9:H9" si="0">AVERAGE(C6:C8)</f>
        <v>8.1933333333333334</v>
      </c>
      <c r="D9" s="13">
        <f>AVERAGE(D6:D8)</f>
        <v>16.513333333333332</v>
      </c>
      <c r="E9" s="12">
        <f t="shared" si="0"/>
        <v>20.66</v>
      </c>
      <c r="F9" s="12">
        <f t="shared" si="0"/>
        <v>28.2</v>
      </c>
      <c r="G9" s="13">
        <f t="shared" si="0"/>
        <v>5.9020000000000001</v>
      </c>
      <c r="H9" s="13">
        <f t="shared" si="0"/>
        <v>24.333333333333332</v>
      </c>
      <c r="T9" s="2"/>
      <c r="U9" s="2"/>
      <c r="V9" s="2"/>
      <c r="AI9" s="2"/>
      <c r="AJ9" s="2"/>
      <c r="AK9" s="2"/>
    </row>
    <row r="10" spans="2:58" x14ac:dyDescent="0.3">
      <c r="B10" s="12" t="s">
        <v>9</v>
      </c>
      <c r="C10" s="13">
        <f t="shared" ref="C10:H10" si="1">_xlfn.STDEV.S(C6:C8)</f>
        <v>7.7674534651539631E-2</v>
      </c>
      <c r="D10" s="13">
        <f t="shared" si="1"/>
        <v>8.3266639978643531E-2</v>
      </c>
      <c r="E10" s="13">
        <f t="shared" si="1"/>
        <v>9.848857801796021E-2</v>
      </c>
      <c r="F10" s="13">
        <f t="shared" si="1"/>
        <v>0.26457513110645947</v>
      </c>
      <c r="G10" s="13">
        <f t="shared" si="1"/>
        <v>0.36201104955512076</v>
      </c>
      <c r="H10" s="13">
        <f t="shared" si="1"/>
        <v>5.7735026918961346E-2</v>
      </c>
      <c r="T10" s="2">
        <v>2</v>
      </c>
      <c r="U10" s="2">
        <v>8.1999999999999993</v>
      </c>
      <c r="V10" s="2">
        <v>8.23</v>
      </c>
      <c r="AI10" s="2"/>
      <c r="AJ10" s="2"/>
      <c r="AK10" s="2"/>
    </row>
    <row r="11" spans="2:58" x14ac:dyDescent="0.3">
      <c r="B11" s="5"/>
      <c r="C11" s="11"/>
      <c r="D11" s="11"/>
      <c r="E11" s="11"/>
      <c r="F11" s="11"/>
      <c r="G11" s="11"/>
      <c r="H11" s="11"/>
      <c r="T11" s="2"/>
      <c r="U11" s="2"/>
      <c r="V11" s="2"/>
      <c r="BE11" s="1" t="s">
        <v>138</v>
      </c>
    </row>
    <row r="12" spans="2:58" x14ac:dyDescent="0.3">
      <c r="B12" s="5" t="s">
        <v>96</v>
      </c>
      <c r="C12" s="5">
        <v>8.11</v>
      </c>
      <c r="D12" s="5">
        <v>16.46</v>
      </c>
      <c r="E12" s="5">
        <v>20.57</v>
      </c>
      <c r="F12" s="5">
        <v>29.3</v>
      </c>
      <c r="G12" s="11">
        <v>4.0640000000000001</v>
      </c>
      <c r="H12" s="5">
        <v>24.2</v>
      </c>
      <c r="T12" s="2">
        <v>3</v>
      </c>
      <c r="U12" s="2">
        <v>8.35</v>
      </c>
      <c r="V12" s="2">
        <v>8.3699999999999992</v>
      </c>
    </row>
    <row r="13" spans="2:58" x14ac:dyDescent="0.3">
      <c r="B13" s="5" t="s">
        <v>97</v>
      </c>
      <c r="C13" s="11">
        <v>8.1999999999999993</v>
      </c>
      <c r="D13" s="5">
        <v>16.47</v>
      </c>
      <c r="E13" s="5">
        <v>20.59</v>
      </c>
      <c r="F13" s="5">
        <v>28.8</v>
      </c>
      <c r="G13" s="5">
        <v>4.4800000000000004</v>
      </c>
      <c r="H13" s="5">
        <v>24.2</v>
      </c>
      <c r="T13" s="2"/>
      <c r="U13" s="2"/>
      <c r="V13" s="2"/>
    </row>
    <row r="14" spans="2:58" x14ac:dyDescent="0.3">
      <c r="B14" s="5" t="s">
        <v>95</v>
      </c>
      <c r="C14" s="5">
        <v>8.15</v>
      </c>
      <c r="D14" s="5">
        <v>16.600000000000001</v>
      </c>
      <c r="E14" s="5">
        <v>20.77</v>
      </c>
      <c r="F14" s="5">
        <v>27.9</v>
      </c>
      <c r="G14" s="11">
        <v>6.1120000000000001</v>
      </c>
      <c r="H14" s="5">
        <v>24.4</v>
      </c>
      <c r="T14" s="2">
        <v>4</v>
      </c>
      <c r="U14" s="2">
        <v>8.1199999999999992</v>
      </c>
      <c r="V14" s="2">
        <v>8.23</v>
      </c>
    </row>
    <row r="15" spans="2:58" x14ac:dyDescent="0.3">
      <c r="B15" s="12" t="s">
        <v>8</v>
      </c>
      <c r="C15" s="13">
        <f t="shared" ref="C15:H15" si="2">AVERAGE(C12:C14)</f>
        <v>8.1533333333333342</v>
      </c>
      <c r="D15" s="12">
        <f t="shared" si="2"/>
        <v>16.510000000000002</v>
      </c>
      <c r="E15" s="13">
        <f t="shared" si="2"/>
        <v>20.643333333333331</v>
      </c>
      <c r="F15" s="13">
        <f t="shared" si="2"/>
        <v>28.666666666666668</v>
      </c>
      <c r="G15" s="13">
        <f t="shared" si="2"/>
        <v>4.8853333333333335</v>
      </c>
      <c r="H15" s="13">
        <f t="shared" si="2"/>
        <v>24.266666666666666</v>
      </c>
      <c r="T15" s="2"/>
      <c r="U15" s="2"/>
      <c r="V15" s="2"/>
    </row>
    <row r="16" spans="2:58" x14ac:dyDescent="0.3">
      <c r="B16" s="12" t="s">
        <v>9</v>
      </c>
      <c r="C16" s="13">
        <f t="shared" ref="C16:H16" si="3">_xlfn.STDEV.S(C12:C14)</f>
        <v>4.5092497528228838E-2</v>
      </c>
      <c r="D16" s="13">
        <f t="shared" si="3"/>
        <v>7.8102496759067386E-2</v>
      </c>
      <c r="E16" s="13">
        <f t="shared" si="3"/>
        <v>0.11015141094572174</v>
      </c>
      <c r="F16" s="13">
        <f t="shared" si="3"/>
        <v>0.70945988845975994</v>
      </c>
      <c r="G16" s="13">
        <f t="shared" si="3"/>
        <v>1.082495881439431</v>
      </c>
      <c r="H16" s="13">
        <f t="shared" si="3"/>
        <v>0.11547005383792475</v>
      </c>
      <c r="T16" s="2">
        <v>5</v>
      </c>
      <c r="U16" s="2">
        <v>8.2200000000000006</v>
      </c>
      <c r="V16" s="2">
        <v>8.24</v>
      </c>
    </row>
    <row r="17" spans="2:37" x14ac:dyDescent="0.3">
      <c r="B17" s="14"/>
      <c r="C17" s="15"/>
      <c r="D17" s="15"/>
      <c r="E17" s="15"/>
      <c r="F17" s="15"/>
      <c r="G17" s="15"/>
      <c r="H17" s="15"/>
    </row>
    <row r="21" spans="2:37" x14ac:dyDescent="0.3">
      <c r="B21" s="9" t="s">
        <v>98</v>
      </c>
      <c r="K21" s="1" t="s">
        <v>109</v>
      </c>
      <c r="AI21" s="1" t="s">
        <v>159</v>
      </c>
    </row>
    <row r="22" spans="2:37" x14ac:dyDescent="0.3">
      <c r="B22" s="1" t="s">
        <v>99</v>
      </c>
      <c r="K22" s="10" t="s">
        <v>110</v>
      </c>
      <c r="L22" s="10" t="s">
        <v>182</v>
      </c>
      <c r="M22" s="10" t="s">
        <v>111</v>
      </c>
      <c r="N22" s="10" t="s">
        <v>112</v>
      </c>
      <c r="O22" s="10" t="s">
        <v>113</v>
      </c>
      <c r="P22" s="10" t="s">
        <v>114</v>
      </c>
      <c r="Q22" s="10" t="s">
        <v>115</v>
      </c>
      <c r="AI22" s="2"/>
      <c r="AJ22" s="2" t="s">
        <v>18</v>
      </c>
      <c r="AK22" s="2" t="s">
        <v>19</v>
      </c>
    </row>
    <row r="23" spans="2:37" x14ac:dyDescent="0.3">
      <c r="B23" s="10" t="s">
        <v>86</v>
      </c>
      <c r="C23" s="10" t="s">
        <v>87</v>
      </c>
      <c r="D23" s="10" t="s">
        <v>88</v>
      </c>
      <c r="E23" s="10" t="s">
        <v>89</v>
      </c>
      <c r="F23" s="10" t="s">
        <v>90</v>
      </c>
      <c r="G23" s="10" t="s">
        <v>100</v>
      </c>
      <c r="H23" s="10" t="s">
        <v>92</v>
      </c>
      <c r="K23" s="16" t="s">
        <v>116</v>
      </c>
      <c r="L23" s="16">
        <v>63</v>
      </c>
      <c r="M23" s="16">
        <v>94</v>
      </c>
      <c r="N23" s="16">
        <v>19</v>
      </c>
      <c r="O23" s="16">
        <v>53</v>
      </c>
      <c r="P23" s="16">
        <v>23</v>
      </c>
      <c r="Q23" s="16">
        <v>71</v>
      </c>
      <c r="T23" s="1" t="s">
        <v>155</v>
      </c>
      <c r="AI23" s="2">
        <v>3</v>
      </c>
      <c r="AJ23" s="2">
        <v>86</v>
      </c>
      <c r="AK23" s="2">
        <v>105</v>
      </c>
    </row>
    <row r="24" spans="2:37" x14ac:dyDescent="0.3">
      <c r="B24" s="5" t="s">
        <v>101</v>
      </c>
      <c r="C24" s="5">
        <v>8.1999999999999993</v>
      </c>
      <c r="D24" s="5">
        <v>18.170000000000002</v>
      </c>
      <c r="E24" s="5">
        <v>22.94</v>
      </c>
      <c r="F24" s="5">
        <v>26.3</v>
      </c>
      <c r="G24" s="5">
        <v>6.9939999999999998</v>
      </c>
      <c r="H24" s="5">
        <v>26.7</v>
      </c>
      <c r="K24" s="16" t="s">
        <v>117</v>
      </c>
      <c r="L24" s="16">
        <v>54</v>
      </c>
      <c r="M24" s="16">
        <v>81</v>
      </c>
      <c r="N24" s="16">
        <v>16</v>
      </c>
      <c r="O24" s="16">
        <v>131</v>
      </c>
      <c r="P24" s="16">
        <v>57</v>
      </c>
      <c r="Q24" s="16">
        <v>176</v>
      </c>
      <c r="T24" s="2"/>
      <c r="U24" s="2" t="s">
        <v>18</v>
      </c>
      <c r="V24" s="2" t="s">
        <v>19</v>
      </c>
      <c r="AI24" s="2">
        <v>7</v>
      </c>
      <c r="AJ24" s="2">
        <v>74</v>
      </c>
      <c r="AK24" s="2">
        <v>73.33</v>
      </c>
    </row>
    <row r="25" spans="2:37" x14ac:dyDescent="0.3">
      <c r="B25" s="5" t="s">
        <v>102</v>
      </c>
      <c r="C25" s="5">
        <v>8.24</v>
      </c>
      <c r="D25" s="5">
        <v>18.100000000000001</v>
      </c>
      <c r="E25" s="5">
        <v>22.87</v>
      </c>
      <c r="F25" s="5">
        <v>26.5</v>
      </c>
      <c r="G25" s="5">
        <v>8.1920000000000002</v>
      </c>
      <c r="H25" s="5">
        <v>26.6</v>
      </c>
      <c r="K25" s="16" t="s">
        <v>118</v>
      </c>
      <c r="L25" s="16">
        <v>55</v>
      </c>
      <c r="M25" s="16">
        <v>83</v>
      </c>
      <c r="N25" s="16">
        <v>17</v>
      </c>
      <c r="O25" s="16">
        <v>9</v>
      </c>
      <c r="P25" s="16">
        <v>4</v>
      </c>
      <c r="Q25" s="16">
        <v>12</v>
      </c>
      <c r="T25" s="2">
        <v>1</v>
      </c>
      <c r="U25" s="2">
        <v>16.510000000000002</v>
      </c>
      <c r="V25" s="2">
        <v>16.510000000000002</v>
      </c>
      <c r="AI25" s="2"/>
      <c r="AJ25" s="2"/>
      <c r="AK25" s="2"/>
    </row>
    <row r="26" spans="2:37" x14ac:dyDescent="0.3">
      <c r="B26" s="5" t="s">
        <v>103</v>
      </c>
      <c r="C26" s="5">
        <v>8.16</v>
      </c>
      <c r="D26" s="5">
        <v>18.13</v>
      </c>
      <c r="E26" s="5">
        <v>22.9</v>
      </c>
      <c r="F26" s="5">
        <v>26.3</v>
      </c>
      <c r="G26" s="5">
        <v>8.1920000000000002</v>
      </c>
      <c r="H26" s="5">
        <v>26.7</v>
      </c>
      <c r="K26" s="17" t="s">
        <v>70</v>
      </c>
      <c r="L26" s="18">
        <f t="shared" ref="L26:Q26" si="4">AVERAGE(L23:L25)</f>
        <v>57.333333333333336</v>
      </c>
      <c r="M26" s="17">
        <f t="shared" si="4"/>
        <v>86</v>
      </c>
      <c r="N26" s="18">
        <f t="shared" si="4"/>
        <v>17.333333333333332</v>
      </c>
      <c r="O26" s="18">
        <f t="shared" si="4"/>
        <v>64.333333333333329</v>
      </c>
      <c r="P26" s="17">
        <f t="shared" si="4"/>
        <v>28</v>
      </c>
      <c r="Q26" s="18">
        <f t="shared" si="4"/>
        <v>86.333333333333329</v>
      </c>
      <c r="T26" s="2"/>
      <c r="U26" s="2"/>
      <c r="V26" s="2"/>
      <c r="AI26" s="2"/>
      <c r="AJ26" s="2"/>
      <c r="AK26" s="2"/>
    </row>
    <row r="27" spans="2:37" x14ac:dyDescent="0.3">
      <c r="B27" s="12" t="s">
        <v>70</v>
      </c>
      <c r="C27" s="13">
        <f t="shared" ref="C27:H27" si="5">AVERAGE(C24:C26)</f>
        <v>8.1999999999999993</v>
      </c>
      <c r="D27" s="13">
        <f t="shared" si="5"/>
        <v>18.133333333333336</v>
      </c>
      <c r="E27" s="13">
        <f t="shared" si="5"/>
        <v>22.903333333333336</v>
      </c>
      <c r="F27" s="13">
        <f t="shared" si="5"/>
        <v>26.366666666666664</v>
      </c>
      <c r="G27" s="13">
        <f t="shared" si="5"/>
        <v>7.7926666666666664</v>
      </c>
      <c r="H27" s="13">
        <f t="shared" si="5"/>
        <v>26.666666666666668</v>
      </c>
      <c r="K27" s="17" t="s">
        <v>9</v>
      </c>
      <c r="L27" s="18">
        <f t="shared" ref="L27:Q27" si="6">_xlfn.STDEV.S(L23:L25)</f>
        <v>4.932882862316248</v>
      </c>
      <c r="M27" s="17">
        <f t="shared" si="6"/>
        <v>7</v>
      </c>
      <c r="N27" s="18">
        <f t="shared" si="6"/>
        <v>1.5275252316519468</v>
      </c>
      <c r="O27" s="18">
        <f t="shared" si="6"/>
        <v>61.784571968520858</v>
      </c>
      <c r="P27" s="18">
        <f t="shared" si="6"/>
        <v>26.851443164195103</v>
      </c>
      <c r="Q27" s="18">
        <f t="shared" si="6"/>
        <v>83.06824503583384</v>
      </c>
      <c r="T27" s="2">
        <v>2</v>
      </c>
      <c r="U27" s="2">
        <v>18.13</v>
      </c>
      <c r="V27" s="2">
        <v>18.579999999999998</v>
      </c>
    </row>
    <row r="28" spans="2:37" x14ac:dyDescent="0.3">
      <c r="B28" s="12" t="s">
        <v>9</v>
      </c>
      <c r="C28" s="12">
        <f t="shared" ref="C28:H28" si="7">_xlfn.STDEV.S(C24:C26)</f>
        <v>4.0000000000000036E-2</v>
      </c>
      <c r="D28" s="13">
        <f t="shared" si="7"/>
        <v>3.5118845842842729E-2</v>
      </c>
      <c r="E28" s="19">
        <f t="shared" si="7"/>
        <v>3.5118845842842729E-2</v>
      </c>
      <c r="F28" s="13">
        <f t="shared" si="7"/>
        <v>0.11547005383792475</v>
      </c>
      <c r="G28" s="13">
        <f t="shared" si="7"/>
        <v>0.69166562248917185</v>
      </c>
      <c r="H28" s="13">
        <f t="shared" si="7"/>
        <v>5.7735026918961346E-2</v>
      </c>
      <c r="K28" s="16"/>
      <c r="L28" s="16"/>
      <c r="M28" s="16"/>
      <c r="N28" s="16"/>
      <c r="O28" s="16"/>
      <c r="P28" s="16"/>
      <c r="Q28" s="16"/>
      <c r="T28" s="2"/>
      <c r="U28" s="2"/>
      <c r="V28" s="2"/>
    </row>
    <row r="29" spans="2:37" x14ac:dyDescent="0.3">
      <c r="B29" s="5"/>
      <c r="C29" s="5"/>
      <c r="D29" s="5"/>
      <c r="E29" s="5"/>
      <c r="F29" s="5"/>
      <c r="G29" s="5"/>
      <c r="H29" s="5"/>
      <c r="K29" s="16" t="s">
        <v>119</v>
      </c>
      <c r="L29" s="16">
        <v>46</v>
      </c>
      <c r="M29" s="16" t="s">
        <v>120</v>
      </c>
      <c r="N29" s="16" t="s">
        <v>120</v>
      </c>
      <c r="O29" s="16">
        <v>113</v>
      </c>
      <c r="P29" s="16">
        <v>49</v>
      </c>
      <c r="Q29" s="16">
        <v>151</v>
      </c>
      <c r="T29" s="2">
        <v>3</v>
      </c>
      <c r="U29" s="2">
        <v>17.32</v>
      </c>
      <c r="V29" s="2">
        <v>17.309999999999999</v>
      </c>
    </row>
    <row r="30" spans="2:37" x14ac:dyDescent="0.3">
      <c r="B30" s="5" t="s">
        <v>104</v>
      </c>
      <c r="C30" s="5">
        <v>8.25</v>
      </c>
      <c r="D30" s="5">
        <v>18.13</v>
      </c>
      <c r="E30" s="5">
        <v>22.91</v>
      </c>
      <c r="F30" s="5">
        <v>26.6</v>
      </c>
      <c r="G30" s="5">
        <v>10.27</v>
      </c>
      <c r="H30" s="5">
        <v>26.7</v>
      </c>
      <c r="K30" s="16" t="s">
        <v>117</v>
      </c>
      <c r="L30" s="16">
        <v>68</v>
      </c>
      <c r="M30" s="16">
        <v>102</v>
      </c>
      <c r="N30" s="16">
        <v>21</v>
      </c>
      <c r="O30" s="16">
        <v>48</v>
      </c>
      <c r="P30" s="16">
        <v>21</v>
      </c>
      <c r="Q30" s="16">
        <v>64</v>
      </c>
      <c r="T30" s="2"/>
      <c r="U30" s="2"/>
      <c r="V30" s="2"/>
    </row>
    <row r="31" spans="2:37" x14ac:dyDescent="0.3">
      <c r="B31" s="5" t="s">
        <v>102</v>
      </c>
      <c r="C31" s="5">
        <v>8.2200000000000006</v>
      </c>
      <c r="D31" s="5">
        <v>19.61</v>
      </c>
      <c r="E31" s="5">
        <v>24.97</v>
      </c>
      <c r="F31" s="5">
        <v>26.6</v>
      </c>
      <c r="G31" s="5">
        <v>7.36</v>
      </c>
      <c r="H31" s="5">
        <v>28.8</v>
      </c>
      <c r="K31" s="16" t="s">
        <v>118</v>
      </c>
      <c r="L31" s="16">
        <v>72</v>
      </c>
      <c r="M31" s="16">
        <v>108</v>
      </c>
      <c r="N31" s="16">
        <v>22</v>
      </c>
      <c r="O31" s="16">
        <v>60</v>
      </c>
      <c r="P31" s="16">
        <v>26</v>
      </c>
      <c r="Q31" s="16">
        <v>80</v>
      </c>
      <c r="T31" s="2">
        <v>4</v>
      </c>
      <c r="U31" s="2">
        <v>16.66</v>
      </c>
      <c r="V31" s="2">
        <v>16.989999999999998</v>
      </c>
    </row>
    <row r="32" spans="2:37" x14ac:dyDescent="0.3">
      <c r="B32" s="5" t="s">
        <v>103</v>
      </c>
      <c r="C32" s="5">
        <v>8.23</v>
      </c>
      <c r="D32" s="5">
        <v>17.989999999999998</v>
      </c>
      <c r="E32" s="5">
        <v>22.7</v>
      </c>
      <c r="F32" s="5">
        <v>26.6</v>
      </c>
      <c r="G32" s="5">
        <v>6.52</v>
      </c>
      <c r="H32" s="5">
        <v>26.5</v>
      </c>
      <c r="K32" s="17" t="s">
        <v>8</v>
      </c>
      <c r="L32" s="17">
        <f>AVERAGE(L29:L31)</f>
        <v>62</v>
      </c>
      <c r="M32" s="17">
        <f>AVERAGE(M30:M31)</f>
        <v>105</v>
      </c>
      <c r="N32" s="17">
        <f>AVERAGE(N30:N31)</f>
        <v>21.5</v>
      </c>
      <c r="O32" s="18">
        <f>AVERAGE(O29:O31)</f>
        <v>73.666666666666671</v>
      </c>
      <c r="P32" s="17">
        <f>AVERAGE(P29:P31)</f>
        <v>32</v>
      </c>
      <c r="Q32" s="18">
        <f>AVERAGE(Q29:Q31)</f>
        <v>98.333333333333329</v>
      </c>
      <c r="T32" s="2"/>
      <c r="U32" s="2"/>
      <c r="V32" s="2"/>
    </row>
    <row r="33" spans="2:37" x14ac:dyDescent="0.3">
      <c r="B33" s="12" t="s">
        <v>70</v>
      </c>
      <c r="C33" s="13">
        <f t="shared" ref="C33:H33" si="8">AVERAGE(C30:C32)</f>
        <v>8.2333333333333325</v>
      </c>
      <c r="D33" s="13">
        <f t="shared" si="8"/>
        <v>18.576666666666664</v>
      </c>
      <c r="E33" s="13">
        <f t="shared" si="8"/>
        <v>23.526666666666667</v>
      </c>
      <c r="F33" s="12">
        <f t="shared" si="8"/>
        <v>26.600000000000005</v>
      </c>
      <c r="G33" s="12">
        <f t="shared" si="8"/>
        <v>8.0499999999999989</v>
      </c>
      <c r="H33" s="13">
        <f t="shared" si="8"/>
        <v>27.333333333333332</v>
      </c>
      <c r="K33" s="17" t="s">
        <v>9</v>
      </c>
      <c r="L33" s="17">
        <f>_xlfn.STDEV.S(L29:L31)</f>
        <v>14</v>
      </c>
      <c r="M33" s="18">
        <f>_xlfn.STDEV.S(M30:M31)</f>
        <v>4.2426406871192848</v>
      </c>
      <c r="N33" s="18">
        <f>_xlfn.STDEV.S(N30:N31)</f>
        <v>0.70710678118654757</v>
      </c>
      <c r="O33" s="18">
        <f>_xlfn.STDEV.S(O29:O31)</f>
        <v>34.588051886935368</v>
      </c>
      <c r="P33" s="18">
        <f>_xlfn.STDEV.S(P29:P31)</f>
        <v>14.933184523068078</v>
      </c>
      <c r="Q33" s="18">
        <f>_xlfn.STDEV.S(Q29:Q31)</f>
        <v>46.306946923040975</v>
      </c>
      <c r="T33" s="2">
        <v>5</v>
      </c>
      <c r="U33" s="2">
        <v>18.18</v>
      </c>
      <c r="V33" s="2">
        <v>18.93</v>
      </c>
    </row>
    <row r="34" spans="2:37" x14ac:dyDescent="0.3">
      <c r="B34" s="12" t="s">
        <v>9</v>
      </c>
      <c r="C34" s="13">
        <f t="shared" ref="C34:H34" si="9">_xlfn.STDEV.S(C30:C32)</f>
        <v>1.527525231651914E-2</v>
      </c>
      <c r="D34" s="13">
        <f t="shared" si="9"/>
        <v>0.8976264999059097</v>
      </c>
      <c r="E34" s="13">
        <f t="shared" si="9"/>
        <v>1.2543657095653293</v>
      </c>
      <c r="F34" s="20">
        <f t="shared" si="9"/>
        <v>4.3511678576336583E-15</v>
      </c>
      <c r="G34" s="13">
        <f t="shared" si="9"/>
        <v>1.9679176812051857</v>
      </c>
      <c r="H34" s="13">
        <f t="shared" si="9"/>
        <v>1.2741009902410934</v>
      </c>
      <c r="K34" s="16"/>
      <c r="L34" s="16"/>
      <c r="M34" s="16"/>
      <c r="N34" s="16"/>
      <c r="O34" s="16"/>
      <c r="P34" s="16"/>
      <c r="Q34" s="16"/>
    </row>
    <row r="35" spans="2:37" x14ac:dyDescent="0.3">
      <c r="B35" s="14"/>
      <c r="C35" s="14"/>
      <c r="D35" s="14"/>
      <c r="E35" s="14"/>
      <c r="F35" s="14"/>
      <c r="G35" s="14"/>
      <c r="H35" s="14"/>
    </row>
    <row r="36" spans="2:37" x14ac:dyDescent="0.3">
      <c r="AI36" s="1" t="s">
        <v>160</v>
      </c>
    </row>
    <row r="37" spans="2:37" x14ac:dyDescent="0.3">
      <c r="AI37" s="2"/>
      <c r="AJ37" s="2" t="s">
        <v>18</v>
      </c>
      <c r="AK37" s="2" t="s">
        <v>19</v>
      </c>
    </row>
    <row r="38" spans="2:37" x14ac:dyDescent="0.3">
      <c r="AI38" s="2">
        <v>3</v>
      </c>
      <c r="AJ38" s="2">
        <v>17.329999999999998</v>
      </c>
      <c r="AK38" s="2">
        <v>21.5</v>
      </c>
    </row>
    <row r="39" spans="2:37" x14ac:dyDescent="0.3">
      <c r="AI39" s="2">
        <v>7</v>
      </c>
      <c r="AJ39" s="2">
        <v>15</v>
      </c>
      <c r="AK39" s="2">
        <v>15</v>
      </c>
    </row>
    <row r="40" spans="2:37" x14ac:dyDescent="0.3">
      <c r="B40" s="9" t="s">
        <v>14</v>
      </c>
      <c r="AI40" s="2"/>
      <c r="AJ40" s="2"/>
      <c r="AK40" s="2"/>
    </row>
    <row r="41" spans="2:37" x14ac:dyDescent="0.3">
      <c r="B41" s="1" t="s">
        <v>99</v>
      </c>
      <c r="AI41" s="2"/>
      <c r="AJ41" s="2"/>
      <c r="AK41" s="2"/>
    </row>
    <row r="42" spans="2:37" x14ac:dyDescent="0.3">
      <c r="B42" s="10" t="s">
        <v>86</v>
      </c>
      <c r="C42" s="10" t="s">
        <v>105</v>
      </c>
      <c r="D42" s="10" t="s">
        <v>88</v>
      </c>
      <c r="E42" s="10" t="s">
        <v>106</v>
      </c>
      <c r="F42" s="10" t="s">
        <v>90</v>
      </c>
      <c r="G42" s="10" t="s">
        <v>107</v>
      </c>
      <c r="H42" s="10" t="s">
        <v>92</v>
      </c>
      <c r="T42" s="1" t="s">
        <v>154</v>
      </c>
    </row>
    <row r="43" spans="2:37" x14ac:dyDescent="0.3">
      <c r="B43" s="5" t="s">
        <v>101</v>
      </c>
      <c r="C43" s="5">
        <v>8.33</v>
      </c>
      <c r="D43" s="5">
        <v>17.36</v>
      </c>
      <c r="E43" s="5">
        <v>21.83</v>
      </c>
      <c r="F43" s="5">
        <v>25.8</v>
      </c>
      <c r="G43" s="5">
        <v>5.6959999999999997</v>
      </c>
      <c r="H43" s="5">
        <v>25.5</v>
      </c>
      <c r="T43" s="2"/>
      <c r="U43" s="2" t="s">
        <v>18</v>
      </c>
      <c r="V43" s="2" t="s">
        <v>19</v>
      </c>
    </row>
    <row r="44" spans="2:37" x14ac:dyDescent="0.3">
      <c r="B44" s="5" t="s">
        <v>94</v>
      </c>
      <c r="C44" s="5">
        <v>8.35</v>
      </c>
      <c r="D44" s="5">
        <v>17.28</v>
      </c>
      <c r="E44" s="5">
        <v>21.71</v>
      </c>
      <c r="F44" s="5">
        <v>25.6</v>
      </c>
      <c r="G44" s="5">
        <v>8.1920000000000002</v>
      </c>
      <c r="H44" s="5">
        <v>25.4</v>
      </c>
      <c r="T44" s="2">
        <v>1</v>
      </c>
      <c r="U44" s="2">
        <v>20.66</v>
      </c>
      <c r="V44" s="2">
        <v>20.64</v>
      </c>
    </row>
    <row r="45" spans="2:37" x14ac:dyDescent="0.3">
      <c r="B45" s="5" t="s">
        <v>95</v>
      </c>
      <c r="C45" s="5">
        <v>8.3699999999999992</v>
      </c>
      <c r="D45" s="5">
        <v>17.329999999999998</v>
      </c>
      <c r="E45" s="5">
        <v>21.78</v>
      </c>
      <c r="F45" s="5">
        <v>25.6</v>
      </c>
      <c r="G45" s="5">
        <v>7.36</v>
      </c>
      <c r="H45" s="5">
        <v>25.5</v>
      </c>
      <c r="T45" s="2">
        <v>2</v>
      </c>
      <c r="U45" s="2">
        <v>22.9</v>
      </c>
      <c r="V45" s="2">
        <v>23.53</v>
      </c>
    </row>
    <row r="46" spans="2:37" x14ac:dyDescent="0.3">
      <c r="B46" s="17" t="s">
        <v>70</v>
      </c>
      <c r="C46" s="17">
        <f t="shared" ref="C46:H46" si="10">AVERAGE(C43:C45)</f>
        <v>8.35</v>
      </c>
      <c r="D46" s="18">
        <f t="shared" si="10"/>
        <v>17.323333333333334</v>
      </c>
      <c r="E46" s="18">
        <f t="shared" si="10"/>
        <v>21.77333333333333</v>
      </c>
      <c r="F46" s="18">
        <f t="shared" si="10"/>
        <v>25.666666666666668</v>
      </c>
      <c r="G46" s="18">
        <f t="shared" si="10"/>
        <v>7.0826666666666673</v>
      </c>
      <c r="H46" s="18">
        <f t="shared" si="10"/>
        <v>25.466666666666669</v>
      </c>
      <c r="T46" s="2">
        <v>3</v>
      </c>
      <c r="U46" s="2">
        <v>21.77</v>
      </c>
      <c r="V46" s="2">
        <v>21.76</v>
      </c>
    </row>
    <row r="47" spans="2:37" x14ac:dyDescent="0.3">
      <c r="B47" s="17" t="s">
        <v>9</v>
      </c>
      <c r="C47" s="17">
        <f t="shared" ref="C47:H47" si="11">_xlfn.STDEV.S(C43:C45)</f>
        <v>1.9999999999999574E-2</v>
      </c>
      <c r="D47" s="18">
        <f t="shared" si="11"/>
        <v>4.0414518843272795E-2</v>
      </c>
      <c r="E47" s="18">
        <f t="shared" si="11"/>
        <v>6.0277137733415892E-2</v>
      </c>
      <c r="F47" s="18">
        <f t="shared" si="11"/>
        <v>0.11547005383792475</v>
      </c>
      <c r="G47" s="18">
        <f t="shared" si="11"/>
        <v>1.2709009927344141</v>
      </c>
      <c r="H47" s="18">
        <f t="shared" si="11"/>
        <v>5.77350269189634E-2</v>
      </c>
      <c r="T47" s="2">
        <v>4</v>
      </c>
      <c r="U47" s="2">
        <v>20.94</v>
      </c>
      <c r="V47" s="2">
        <v>21.34</v>
      </c>
    </row>
    <row r="48" spans="2:37" x14ac:dyDescent="0.3">
      <c r="B48" s="5"/>
      <c r="C48" s="5"/>
      <c r="D48" s="5"/>
      <c r="E48" s="5"/>
      <c r="F48" s="5"/>
      <c r="G48" s="5"/>
      <c r="H48" s="5"/>
      <c r="T48" s="2">
        <v>5</v>
      </c>
      <c r="U48" s="2">
        <v>23</v>
      </c>
      <c r="V48" s="2">
        <v>24.02</v>
      </c>
    </row>
    <row r="49" spans="2:37" x14ac:dyDescent="0.3">
      <c r="B49" s="5" t="s">
        <v>104</v>
      </c>
      <c r="C49" s="5">
        <v>8.36</v>
      </c>
      <c r="D49" s="5">
        <v>17.309999999999999</v>
      </c>
      <c r="E49" s="5">
        <v>21.74</v>
      </c>
      <c r="F49" s="5">
        <v>25.9</v>
      </c>
      <c r="G49" s="5">
        <v>6.944</v>
      </c>
      <c r="H49" s="5">
        <v>25.5</v>
      </c>
    </row>
    <row r="50" spans="2:37" x14ac:dyDescent="0.3">
      <c r="B50" s="5" t="s">
        <v>94</v>
      </c>
      <c r="C50" s="5">
        <v>8.3800000000000008</v>
      </c>
      <c r="D50" s="5">
        <v>17.32</v>
      </c>
      <c r="E50" s="5">
        <v>21.77</v>
      </c>
      <c r="F50" s="5">
        <v>25.9</v>
      </c>
      <c r="G50" s="5">
        <v>7.36</v>
      </c>
      <c r="H50" s="5">
        <v>25.5</v>
      </c>
    </row>
    <row r="51" spans="2:37" x14ac:dyDescent="0.3">
      <c r="B51" s="5" t="s">
        <v>95</v>
      </c>
      <c r="C51" s="5">
        <v>8.3699999999999992</v>
      </c>
      <c r="D51" s="5">
        <v>17.309999999999999</v>
      </c>
      <c r="E51" s="5">
        <v>21.76</v>
      </c>
      <c r="F51" s="5">
        <v>25.9</v>
      </c>
      <c r="G51" s="5">
        <v>8.6080000000000005</v>
      </c>
      <c r="H51" s="5">
        <v>25.4</v>
      </c>
    </row>
    <row r="52" spans="2:37" x14ac:dyDescent="0.3">
      <c r="B52" s="17" t="s">
        <v>70</v>
      </c>
      <c r="C52" s="17">
        <f t="shared" ref="C52:H52" si="12">AVERAGE(C49:C51)</f>
        <v>8.3699999999999992</v>
      </c>
      <c r="D52" s="18">
        <f t="shared" si="12"/>
        <v>17.313333333333333</v>
      </c>
      <c r="E52" s="18">
        <f t="shared" si="12"/>
        <v>21.756666666666664</v>
      </c>
      <c r="F52" s="17">
        <f t="shared" si="12"/>
        <v>25.899999999999995</v>
      </c>
      <c r="G52" s="18">
        <f t="shared" si="12"/>
        <v>7.6373333333333333</v>
      </c>
      <c r="H52" s="18">
        <f t="shared" si="12"/>
        <v>25.466666666666669</v>
      </c>
    </row>
    <row r="53" spans="2:37" x14ac:dyDescent="0.3">
      <c r="B53" s="17" t="s">
        <v>9</v>
      </c>
      <c r="C53" s="17">
        <f t="shared" ref="C53:H53" si="13">_xlfn.STDEV.S(C49:C51)</f>
        <v>1.0000000000000675E-2</v>
      </c>
      <c r="D53" s="18">
        <f t="shared" si="13"/>
        <v>5.77350269189716E-3</v>
      </c>
      <c r="E53" s="18">
        <f t="shared" si="13"/>
        <v>1.5275252316520303E-2</v>
      </c>
      <c r="F53" s="21">
        <f t="shared" si="13"/>
        <v>4.3511678576336583E-15</v>
      </c>
      <c r="G53" s="18">
        <f t="shared" si="13"/>
        <v>0.8659730557779115</v>
      </c>
      <c r="H53" s="18">
        <f t="shared" si="13"/>
        <v>5.77350269189634E-2</v>
      </c>
    </row>
    <row r="54" spans="2:37" x14ac:dyDescent="0.3">
      <c r="B54" s="5"/>
      <c r="C54" s="5"/>
      <c r="D54" s="5"/>
      <c r="E54" s="5"/>
      <c r="F54" s="5"/>
      <c r="G54" s="5"/>
      <c r="H54" s="5"/>
      <c r="AI54" s="1" t="s">
        <v>161</v>
      </c>
    </row>
    <row r="55" spans="2:37" x14ac:dyDescent="0.3">
      <c r="AI55" s="2"/>
      <c r="AJ55" s="2" t="s">
        <v>18</v>
      </c>
      <c r="AK55" s="2" t="s">
        <v>19</v>
      </c>
    </row>
    <row r="56" spans="2:37" x14ac:dyDescent="0.3">
      <c r="AI56" s="2">
        <v>3</v>
      </c>
      <c r="AJ56" s="2">
        <v>64.33</v>
      </c>
      <c r="AK56" s="2">
        <v>73.67</v>
      </c>
    </row>
    <row r="57" spans="2:37" x14ac:dyDescent="0.3">
      <c r="T57" s="1" t="s">
        <v>90</v>
      </c>
      <c r="AI57" s="2">
        <v>7</v>
      </c>
      <c r="AJ57" s="2">
        <v>95.33</v>
      </c>
      <c r="AK57" s="2">
        <v>53</v>
      </c>
    </row>
    <row r="58" spans="2:37" x14ac:dyDescent="0.3">
      <c r="B58" s="9" t="s">
        <v>16</v>
      </c>
      <c r="T58" s="2"/>
      <c r="U58" s="2" t="s">
        <v>18</v>
      </c>
      <c r="V58" s="2" t="s">
        <v>19</v>
      </c>
      <c r="AI58" s="2"/>
      <c r="AJ58" s="2"/>
      <c r="AK58" s="2"/>
    </row>
    <row r="59" spans="2:37" x14ac:dyDescent="0.3">
      <c r="B59" s="1" t="s">
        <v>85</v>
      </c>
      <c r="T59" s="2">
        <v>1</v>
      </c>
      <c r="U59" s="2">
        <v>28.2</v>
      </c>
      <c r="V59" s="2">
        <v>28.67</v>
      </c>
      <c r="AI59" s="2"/>
      <c r="AJ59" s="2"/>
      <c r="AK59" s="2"/>
    </row>
    <row r="60" spans="2:37" x14ac:dyDescent="0.3">
      <c r="B60" s="10" t="s">
        <v>86</v>
      </c>
      <c r="C60" s="10" t="s">
        <v>87</v>
      </c>
      <c r="D60" s="10" t="s">
        <v>88</v>
      </c>
      <c r="E60" s="10" t="s">
        <v>89</v>
      </c>
      <c r="F60" s="10" t="s">
        <v>90</v>
      </c>
      <c r="G60" s="10" t="s">
        <v>91</v>
      </c>
      <c r="H60" s="10" t="s">
        <v>92</v>
      </c>
      <c r="T60" s="2">
        <v>2</v>
      </c>
      <c r="U60" s="2">
        <v>26.37</v>
      </c>
      <c r="V60" s="2">
        <v>26.6</v>
      </c>
    </row>
    <row r="61" spans="2:37" x14ac:dyDescent="0.3">
      <c r="B61" s="5" t="s">
        <v>93</v>
      </c>
      <c r="C61" s="5">
        <v>8.1199999999999992</v>
      </c>
      <c r="D61" s="5">
        <v>16.489999999999998</v>
      </c>
      <c r="E61" s="5">
        <v>20.76</v>
      </c>
      <c r="F61" s="5">
        <v>28.3</v>
      </c>
      <c r="G61" s="5">
        <v>5.6959999999999997</v>
      </c>
      <c r="H61" s="5">
        <v>23.9</v>
      </c>
      <c r="T61" s="2">
        <v>3</v>
      </c>
      <c r="U61" s="2">
        <v>25.67</v>
      </c>
      <c r="V61" s="2">
        <v>25.9</v>
      </c>
    </row>
    <row r="62" spans="2:37" x14ac:dyDescent="0.3">
      <c r="B62" s="5" t="s">
        <v>94</v>
      </c>
      <c r="C62" s="5">
        <v>8.11</v>
      </c>
      <c r="D62" s="5">
        <v>16.7</v>
      </c>
      <c r="E62" s="5">
        <v>20.98</v>
      </c>
      <c r="F62" s="5">
        <v>28.2</v>
      </c>
      <c r="G62" s="5">
        <v>8.4689999999999994</v>
      </c>
      <c r="H62" s="5">
        <v>24.5</v>
      </c>
      <c r="T62" s="2">
        <v>4</v>
      </c>
      <c r="U62" s="2">
        <v>28.23</v>
      </c>
      <c r="V62" s="2">
        <v>28.1</v>
      </c>
    </row>
    <row r="63" spans="2:37" x14ac:dyDescent="0.3">
      <c r="B63" s="5" t="s">
        <v>95</v>
      </c>
      <c r="C63" s="5">
        <v>8.14</v>
      </c>
      <c r="D63" s="5">
        <v>16.79</v>
      </c>
      <c r="E63" s="5">
        <v>21.07</v>
      </c>
      <c r="F63" s="5">
        <v>28.2</v>
      </c>
      <c r="G63" s="5">
        <v>7.4980000000000002</v>
      </c>
      <c r="H63" s="5">
        <v>24.6</v>
      </c>
      <c r="T63" s="2">
        <v>5</v>
      </c>
      <c r="U63" s="2">
        <v>28.1</v>
      </c>
      <c r="V63" s="2">
        <v>28.1</v>
      </c>
    </row>
    <row r="64" spans="2:37" x14ac:dyDescent="0.3">
      <c r="B64" s="22" t="s">
        <v>70</v>
      </c>
      <c r="C64" s="23">
        <f t="shared" ref="C64:H64" si="14">AVERAGE(C61:C63)</f>
        <v>8.1233333333333331</v>
      </c>
      <c r="D64" s="22">
        <f t="shared" si="14"/>
        <v>16.66</v>
      </c>
      <c r="E64" s="23">
        <f t="shared" si="14"/>
        <v>20.936666666666667</v>
      </c>
      <c r="F64" s="23">
        <f t="shared" si="14"/>
        <v>28.233333333333334</v>
      </c>
      <c r="G64" s="23">
        <f t="shared" si="14"/>
        <v>7.2210000000000001</v>
      </c>
      <c r="H64" s="23">
        <f t="shared" si="14"/>
        <v>24.333333333333332</v>
      </c>
    </row>
    <row r="65" spans="2:37" x14ac:dyDescent="0.3">
      <c r="B65" s="22" t="s">
        <v>9</v>
      </c>
      <c r="C65" s="23">
        <f t="shared" ref="C65:H65" si="15">_xlfn.STDEV.S(C61:C63)</f>
        <v>1.527525231652011E-2</v>
      </c>
      <c r="D65" s="23">
        <f t="shared" si="15"/>
        <v>0.15394804318340694</v>
      </c>
      <c r="E65" s="23">
        <f t="shared" si="15"/>
        <v>0.15947831618540845</v>
      </c>
      <c r="F65" s="23">
        <f t="shared" si="15"/>
        <v>5.77350269189634E-2</v>
      </c>
      <c r="G65" s="23">
        <f t="shared" si="15"/>
        <v>1.407099498969417</v>
      </c>
      <c r="H65" s="23">
        <f t="shared" si="15"/>
        <v>0.37859388972001956</v>
      </c>
    </row>
    <row r="66" spans="2:37" x14ac:dyDescent="0.3">
      <c r="B66" s="5"/>
      <c r="C66" s="5"/>
      <c r="D66" s="5"/>
      <c r="E66" s="5"/>
      <c r="F66" s="5"/>
      <c r="G66" s="5"/>
      <c r="H66" s="5"/>
    </row>
    <row r="67" spans="2:37" x14ac:dyDescent="0.3">
      <c r="B67" s="5" t="s">
        <v>96</v>
      </c>
      <c r="C67" s="5">
        <v>8.17</v>
      </c>
      <c r="D67" s="5">
        <v>16.88</v>
      </c>
      <c r="E67" s="5">
        <v>21.2</v>
      </c>
      <c r="F67" s="5">
        <v>28.1</v>
      </c>
      <c r="G67" s="5">
        <v>7.08</v>
      </c>
      <c r="H67" s="5">
        <v>24.8</v>
      </c>
    </row>
    <row r="68" spans="2:37" x14ac:dyDescent="0.3">
      <c r="B68" s="5" t="s">
        <v>97</v>
      </c>
      <c r="C68" s="5">
        <v>8.2100000000000009</v>
      </c>
      <c r="D68" s="5">
        <v>16.98</v>
      </c>
      <c r="E68" s="5">
        <v>21.33</v>
      </c>
      <c r="F68" s="5">
        <v>28.1</v>
      </c>
      <c r="G68" s="5">
        <v>7.36</v>
      </c>
      <c r="H68" s="5">
        <v>25</v>
      </c>
    </row>
    <row r="69" spans="2:37" x14ac:dyDescent="0.3">
      <c r="B69" s="5" t="s">
        <v>95</v>
      </c>
      <c r="C69" s="5">
        <v>8.3000000000000007</v>
      </c>
      <c r="D69" s="5">
        <v>17.12</v>
      </c>
      <c r="E69" s="5">
        <v>21.5</v>
      </c>
      <c r="F69" s="5">
        <v>28.1</v>
      </c>
      <c r="G69" s="5">
        <v>8.6080000000000005</v>
      </c>
      <c r="H69" s="5">
        <v>25.2</v>
      </c>
    </row>
    <row r="70" spans="2:37" x14ac:dyDescent="0.3">
      <c r="B70" s="22" t="s">
        <v>70</v>
      </c>
      <c r="C70" s="23">
        <f t="shared" ref="C70:H70" si="16">AVERAGE(C67:C69)</f>
        <v>8.2266666666666683</v>
      </c>
      <c r="D70" s="23">
        <f t="shared" si="16"/>
        <v>16.993333333333336</v>
      </c>
      <c r="E70" s="23">
        <f t="shared" si="16"/>
        <v>21.343333333333334</v>
      </c>
      <c r="F70" s="22">
        <f t="shared" si="16"/>
        <v>28.100000000000005</v>
      </c>
      <c r="G70" s="23">
        <f t="shared" si="16"/>
        <v>7.682666666666667</v>
      </c>
      <c r="H70" s="22">
        <f t="shared" si="16"/>
        <v>25</v>
      </c>
    </row>
    <row r="71" spans="2:37" x14ac:dyDescent="0.3">
      <c r="B71" s="22" t="s">
        <v>9</v>
      </c>
      <c r="C71" s="23">
        <f t="shared" ref="C71:H71" si="17">_xlfn.STDEV.S(C67:C69)</f>
        <v>6.6583281184794244E-2</v>
      </c>
      <c r="D71" s="23">
        <f t="shared" si="17"/>
        <v>0.12055427546683513</v>
      </c>
      <c r="E71" s="23">
        <f t="shared" si="17"/>
        <v>0.15044378795195718</v>
      </c>
      <c r="F71" s="20">
        <f t="shared" si="17"/>
        <v>4.3511678576336583E-15</v>
      </c>
      <c r="G71" s="23">
        <f t="shared" si="17"/>
        <v>0.8134994365906677</v>
      </c>
      <c r="H71" s="22">
        <f t="shared" si="17"/>
        <v>0.19999999999999929</v>
      </c>
    </row>
    <row r="72" spans="2:37" x14ac:dyDescent="0.3">
      <c r="B72" s="5"/>
      <c r="C72" s="5"/>
      <c r="D72" s="5"/>
      <c r="E72" s="5"/>
      <c r="F72" s="5"/>
      <c r="G72" s="5"/>
      <c r="H72" s="5"/>
    </row>
    <row r="73" spans="2:37" x14ac:dyDescent="0.3">
      <c r="T73" s="1" t="s">
        <v>153</v>
      </c>
    </row>
    <row r="74" spans="2:37" x14ac:dyDescent="0.3">
      <c r="T74" s="2"/>
      <c r="U74" s="2" t="s">
        <v>18</v>
      </c>
      <c r="V74" s="2" t="s">
        <v>19</v>
      </c>
    </row>
    <row r="75" spans="2:37" x14ac:dyDescent="0.3">
      <c r="T75" s="2">
        <v>1</v>
      </c>
      <c r="U75" s="2">
        <v>5.9</v>
      </c>
      <c r="V75" s="2">
        <v>4.8899999999999997</v>
      </c>
      <c r="AI75" s="1" t="s">
        <v>163</v>
      </c>
    </row>
    <row r="76" spans="2:37" x14ac:dyDescent="0.3">
      <c r="B76" s="9" t="s">
        <v>108</v>
      </c>
      <c r="K76" s="1" t="s">
        <v>109</v>
      </c>
      <c r="T76" s="2">
        <v>2</v>
      </c>
      <c r="U76" s="2">
        <v>7.79</v>
      </c>
      <c r="V76" s="2">
        <v>8.0500000000000007</v>
      </c>
      <c r="AI76" s="2"/>
      <c r="AJ76" s="2" t="s">
        <v>18</v>
      </c>
      <c r="AK76" s="2" t="s">
        <v>19</v>
      </c>
    </row>
    <row r="77" spans="2:37" x14ac:dyDescent="0.3">
      <c r="B77" s="1" t="s">
        <v>99</v>
      </c>
      <c r="K77" s="10" t="s">
        <v>110</v>
      </c>
      <c r="L77" s="10" t="s">
        <v>182</v>
      </c>
      <c r="M77" s="10" t="s">
        <v>111</v>
      </c>
      <c r="N77" s="10" t="s">
        <v>112</v>
      </c>
      <c r="O77" s="10" t="s">
        <v>113</v>
      </c>
      <c r="P77" s="10" t="s">
        <v>114</v>
      </c>
      <c r="Q77" s="10" t="s">
        <v>115</v>
      </c>
      <c r="T77" s="2">
        <v>3</v>
      </c>
      <c r="U77" s="2">
        <v>7.08</v>
      </c>
      <c r="V77" s="2">
        <v>7.64</v>
      </c>
      <c r="AI77" s="2">
        <v>3</v>
      </c>
      <c r="AJ77" s="2">
        <v>28</v>
      </c>
      <c r="AK77" s="2">
        <v>32</v>
      </c>
    </row>
    <row r="78" spans="2:37" x14ac:dyDescent="0.3">
      <c r="B78" s="10" t="s">
        <v>86</v>
      </c>
      <c r="C78" s="10" t="s">
        <v>105</v>
      </c>
      <c r="D78" s="10" t="s">
        <v>88</v>
      </c>
      <c r="E78" s="10" t="s">
        <v>106</v>
      </c>
      <c r="F78" s="10" t="s">
        <v>90</v>
      </c>
      <c r="G78" s="10" t="s">
        <v>107</v>
      </c>
      <c r="H78" s="10" t="s">
        <v>92</v>
      </c>
      <c r="K78" s="16" t="s">
        <v>116</v>
      </c>
      <c r="L78" s="16">
        <v>48</v>
      </c>
      <c r="M78" s="16">
        <v>72</v>
      </c>
      <c r="N78" s="16">
        <v>15</v>
      </c>
      <c r="O78" s="16">
        <v>47</v>
      </c>
      <c r="P78" s="16">
        <v>21</v>
      </c>
      <c r="Q78" s="16">
        <v>63</v>
      </c>
      <c r="T78" s="2">
        <v>4</v>
      </c>
      <c r="U78" s="2">
        <v>7.22</v>
      </c>
      <c r="V78" s="2">
        <v>7.68</v>
      </c>
      <c r="AI78" s="2">
        <v>7</v>
      </c>
      <c r="AJ78" s="2">
        <v>42</v>
      </c>
      <c r="AK78" s="2">
        <v>22.67</v>
      </c>
    </row>
    <row r="79" spans="2:37" x14ac:dyDescent="0.3">
      <c r="B79" s="5" t="s">
        <v>101</v>
      </c>
      <c r="C79" s="5">
        <v>8.18</v>
      </c>
      <c r="D79" s="5">
        <v>15.8</v>
      </c>
      <c r="E79" s="5">
        <v>19.690000000000001</v>
      </c>
      <c r="F79" s="5">
        <v>28</v>
      </c>
      <c r="G79" s="5">
        <v>7.36</v>
      </c>
      <c r="H79" s="5">
        <v>23.2</v>
      </c>
      <c r="K79" s="16" t="s">
        <v>117</v>
      </c>
      <c r="L79" s="16">
        <v>50</v>
      </c>
      <c r="M79" s="16">
        <v>76</v>
      </c>
      <c r="N79" s="16">
        <v>15</v>
      </c>
      <c r="O79" s="16">
        <v>155</v>
      </c>
      <c r="P79" s="16">
        <v>68</v>
      </c>
      <c r="Q79" s="16">
        <v>207</v>
      </c>
      <c r="T79" s="2">
        <v>5</v>
      </c>
      <c r="U79" s="2">
        <v>6.39</v>
      </c>
      <c r="V79" s="2">
        <v>5.71</v>
      </c>
      <c r="AI79" s="2"/>
      <c r="AJ79" s="2"/>
      <c r="AK79" s="2"/>
    </row>
    <row r="80" spans="2:37" x14ac:dyDescent="0.3">
      <c r="B80" s="5" t="s">
        <v>94</v>
      </c>
      <c r="C80" s="5">
        <v>8.24</v>
      </c>
      <c r="D80" s="5">
        <v>21.2</v>
      </c>
      <c r="E80" s="5">
        <v>27.23</v>
      </c>
      <c r="F80" s="5">
        <v>28.2</v>
      </c>
      <c r="G80" s="5">
        <v>5.69</v>
      </c>
      <c r="H80" s="5">
        <v>31.2</v>
      </c>
      <c r="K80" s="16" t="s">
        <v>118</v>
      </c>
      <c r="L80" s="16">
        <v>51</v>
      </c>
      <c r="M80" s="16">
        <v>74</v>
      </c>
      <c r="N80" s="16">
        <v>15</v>
      </c>
      <c r="O80" s="16">
        <v>84</v>
      </c>
      <c r="P80" s="16">
        <v>37</v>
      </c>
      <c r="Q80" s="16">
        <v>112</v>
      </c>
      <c r="T80" s="2"/>
      <c r="U80" s="2"/>
      <c r="V80" s="2"/>
      <c r="AI80" s="2"/>
      <c r="AJ80" s="2"/>
      <c r="AK80" s="2"/>
    </row>
    <row r="81" spans="2:37" x14ac:dyDescent="0.3">
      <c r="B81" s="5" t="s">
        <v>95</v>
      </c>
      <c r="C81" s="5">
        <v>8.23</v>
      </c>
      <c r="D81" s="5">
        <v>17.54</v>
      </c>
      <c r="E81" s="5">
        <v>22.07</v>
      </c>
      <c r="F81" s="5">
        <v>28.1</v>
      </c>
      <c r="G81" s="5">
        <v>6.1120000000000001</v>
      </c>
      <c r="H81" s="5">
        <v>25.8</v>
      </c>
      <c r="K81" s="17" t="s">
        <v>8</v>
      </c>
      <c r="L81" s="18">
        <f t="shared" ref="L81:Q81" si="18">AVERAGE(L78:L80)</f>
        <v>49.666666666666664</v>
      </c>
      <c r="M81" s="17">
        <f t="shared" si="18"/>
        <v>74</v>
      </c>
      <c r="N81" s="17">
        <f t="shared" si="18"/>
        <v>15</v>
      </c>
      <c r="O81" s="18">
        <f t="shared" si="18"/>
        <v>95.333333333333329</v>
      </c>
      <c r="P81" s="17">
        <f t="shared" si="18"/>
        <v>42</v>
      </c>
      <c r="Q81" s="18">
        <f t="shared" si="18"/>
        <v>127.33333333333333</v>
      </c>
    </row>
    <row r="82" spans="2:37" x14ac:dyDescent="0.3">
      <c r="B82" s="17" t="s">
        <v>70</v>
      </c>
      <c r="C82" s="18">
        <f t="shared" ref="C82:H82" si="19">AVERAGE(C79:C81)</f>
        <v>8.2166666666666668</v>
      </c>
      <c r="D82" s="17">
        <f t="shared" si="19"/>
        <v>18.18</v>
      </c>
      <c r="E82" s="18">
        <f t="shared" si="19"/>
        <v>22.99666666666667</v>
      </c>
      <c r="F82" s="17">
        <f t="shared" si="19"/>
        <v>28.100000000000005</v>
      </c>
      <c r="G82" s="18">
        <f t="shared" si="19"/>
        <v>6.3873333333333333</v>
      </c>
      <c r="H82" s="18">
        <f t="shared" si="19"/>
        <v>26.733333333333334</v>
      </c>
      <c r="K82" s="17" t="s">
        <v>9</v>
      </c>
      <c r="L82" s="18">
        <f t="shared" ref="L82:Q82" si="20">_xlfn.STDEV.S(L78:L80)</f>
        <v>1.5275252316519465</v>
      </c>
      <c r="M82" s="17">
        <f t="shared" si="20"/>
        <v>2</v>
      </c>
      <c r="N82" s="17">
        <f t="shared" si="20"/>
        <v>0</v>
      </c>
      <c r="O82" s="18">
        <f t="shared" si="20"/>
        <v>54.884727687521</v>
      </c>
      <c r="P82" s="18">
        <f t="shared" si="20"/>
        <v>23.895606290697042</v>
      </c>
      <c r="Q82" s="18">
        <f t="shared" si="20"/>
        <v>73.214297328686641</v>
      </c>
    </row>
    <row r="83" spans="2:37" x14ac:dyDescent="0.3">
      <c r="B83" s="17" t="s">
        <v>9</v>
      </c>
      <c r="C83" s="18">
        <f t="shared" ref="C83:H83" si="21">_xlfn.STDEV.S(C79:C81)</f>
        <v>3.2145502536643514E-2</v>
      </c>
      <c r="D83" s="18">
        <f t="shared" si="21"/>
        <v>2.7563018702602404</v>
      </c>
      <c r="E83" s="18">
        <f t="shared" si="21"/>
        <v>3.8544692674002792</v>
      </c>
      <c r="F83" s="17">
        <f t="shared" si="21"/>
        <v>9.9999999999999645E-2</v>
      </c>
      <c r="G83" s="18">
        <f t="shared" si="21"/>
        <v>0.86837856568051353</v>
      </c>
      <c r="H83" s="18">
        <f t="shared" si="21"/>
        <v>4.0808495847473925</v>
      </c>
      <c r="K83" s="16"/>
      <c r="L83" s="16"/>
      <c r="M83" s="16"/>
      <c r="N83" s="16"/>
      <c r="O83" s="16"/>
      <c r="P83" s="16"/>
      <c r="Q83" s="16"/>
    </row>
    <row r="84" spans="2:37" x14ac:dyDescent="0.3">
      <c r="B84" s="5"/>
      <c r="C84" s="5"/>
      <c r="D84" s="5"/>
      <c r="E84" s="5"/>
      <c r="F84" s="5"/>
      <c r="G84" s="5"/>
      <c r="H84" s="5"/>
      <c r="K84" s="16" t="s">
        <v>119</v>
      </c>
      <c r="L84" s="16">
        <v>49</v>
      </c>
      <c r="M84" s="16">
        <v>73</v>
      </c>
      <c r="N84" s="16">
        <v>15</v>
      </c>
      <c r="O84" s="16">
        <v>102</v>
      </c>
      <c r="P84" s="16">
        <v>44</v>
      </c>
      <c r="Q84" s="16">
        <v>136</v>
      </c>
    </row>
    <row r="85" spans="2:37" x14ac:dyDescent="0.3">
      <c r="B85" s="5" t="s">
        <v>104</v>
      </c>
      <c r="C85" s="5">
        <v>8.24</v>
      </c>
      <c r="D85" s="5">
        <v>17.7</v>
      </c>
      <c r="E85" s="5">
        <v>22.31</v>
      </c>
      <c r="F85" s="5">
        <v>28.2</v>
      </c>
      <c r="G85" s="5">
        <v>4.4800000000000004</v>
      </c>
      <c r="H85" s="5">
        <v>26.1</v>
      </c>
      <c r="K85" s="16" t="s">
        <v>117</v>
      </c>
      <c r="L85" s="16">
        <v>52</v>
      </c>
      <c r="M85" s="16">
        <v>78</v>
      </c>
      <c r="N85" s="16">
        <v>16</v>
      </c>
      <c r="O85" s="16">
        <v>22</v>
      </c>
      <c r="P85" s="16">
        <v>9</v>
      </c>
      <c r="Q85" s="16">
        <v>29</v>
      </c>
    </row>
    <row r="86" spans="2:37" x14ac:dyDescent="0.3">
      <c r="B86" s="5" t="s">
        <v>94</v>
      </c>
      <c r="C86" s="5">
        <v>8.24</v>
      </c>
      <c r="D86" s="5">
        <v>21.3</v>
      </c>
      <c r="E86" s="5">
        <v>27.36</v>
      </c>
      <c r="F86" s="5">
        <v>28.1</v>
      </c>
      <c r="G86" s="5">
        <v>6.5229999999999997</v>
      </c>
      <c r="H86" s="5">
        <v>31.3</v>
      </c>
      <c r="K86" s="16" t="s">
        <v>118</v>
      </c>
      <c r="L86" s="16">
        <v>46</v>
      </c>
      <c r="M86" s="16">
        <v>69</v>
      </c>
      <c r="N86" s="16">
        <v>14</v>
      </c>
      <c r="O86" s="16">
        <v>35</v>
      </c>
      <c r="P86" s="16">
        <v>15</v>
      </c>
      <c r="Q86" s="16">
        <v>47</v>
      </c>
    </row>
    <row r="87" spans="2:37" x14ac:dyDescent="0.3">
      <c r="B87" s="5" t="s">
        <v>95</v>
      </c>
      <c r="C87" s="5">
        <v>8.23</v>
      </c>
      <c r="D87" s="5">
        <v>17.78</v>
      </c>
      <c r="E87" s="5">
        <v>22.4</v>
      </c>
      <c r="F87" s="5">
        <v>28</v>
      </c>
      <c r="G87" s="5">
        <v>6.1130000000000004</v>
      </c>
      <c r="H87" s="5">
        <v>26</v>
      </c>
      <c r="K87" s="17" t="s">
        <v>8</v>
      </c>
      <c r="L87" s="17">
        <f t="shared" ref="L87:Q87" si="22">AVERAGE(L84:L86)</f>
        <v>49</v>
      </c>
      <c r="M87" s="18">
        <f t="shared" si="22"/>
        <v>73.333333333333329</v>
      </c>
      <c r="N87" s="17">
        <f t="shared" si="22"/>
        <v>15</v>
      </c>
      <c r="O87" s="17">
        <f t="shared" si="22"/>
        <v>53</v>
      </c>
      <c r="P87" s="18">
        <f t="shared" si="22"/>
        <v>22.666666666666668</v>
      </c>
      <c r="Q87" s="18">
        <f t="shared" si="22"/>
        <v>70.666666666666671</v>
      </c>
    </row>
    <row r="88" spans="2:37" x14ac:dyDescent="0.3">
      <c r="B88" s="17" t="s">
        <v>70</v>
      </c>
      <c r="C88" s="18">
        <f t="shared" ref="C88:H88" si="23">AVERAGE(C85:C87)</f>
        <v>8.2366666666666664</v>
      </c>
      <c r="D88" s="18">
        <f t="shared" si="23"/>
        <v>18.926666666666666</v>
      </c>
      <c r="E88" s="18">
        <f t="shared" si="23"/>
        <v>24.02333333333333</v>
      </c>
      <c r="F88" s="17">
        <f t="shared" si="23"/>
        <v>28.099999999999998</v>
      </c>
      <c r="G88" s="18">
        <f t="shared" si="23"/>
        <v>5.7053333333333329</v>
      </c>
      <c r="H88" s="17">
        <f t="shared" si="23"/>
        <v>27.8</v>
      </c>
      <c r="K88" s="17" t="s">
        <v>9</v>
      </c>
      <c r="L88" s="17">
        <f t="shared" ref="L88:Q88" si="24">_xlfn.STDEV.S(L84:L86)</f>
        <v>3</v>
      </c>
      <c r="M88" s="18">
        <f t="shared" si="24"/>
        <v>4.5092497528228943</v>
      </c>
      <c r="N88" s="17">
        <f t="shared" si="24"/>
        <v>1</v>
      </c>
      <c r="O88" s="18">
        <f t="shared" si="24"/>
        <v>42.930175867331364</v>
      </c>
      <c r="P88" s="18">
        <f t="shared" si="24"/>
        <v>18.717193521821944</v>
      </c>
      <c r="Q88" s="18">
        <f t="shared" si="24"/>
        <v>57.29165151514951</v>
      </c>
    </row>
    <row r="89" spans="2:37" x14ac:dyDescent="0.3">
      <c r="B89" s="17" t="s">
        <v>9</v>
      </c>
      <c r="C89" s="18">
        <f t="shared" ref="C89:H89" si="25">_xlfn.STDEV.S(C85:C87)</f>
        <v>5.7735026918961348E-3</v>
      </c>
      <c r="D89" s="18">
        <f t="shared" si="25"/>
        <v>2.0557561463688572</v>
      </c>
      <c r="E89" s="18">
        <f t="shared" si="25"/>
        <v>2.8899884659516095</v>
      </c>
      <c r="F89" s="17">
        <f t="shared" si="25"/>
        <v>9.9999999999999645E-2</v>
      </c>
      <c r="G89" s="18">
        <f t="shared" si="25"/>
        <v>1.0807896804343267</v>
      </c>
      <c r="H89" s="18">
        <f t="shared" si="25"/>
        <v>3.0315012782448236</v>
      </c>
      <c r="K89" s="16"/>
      <c r="L89" s="16"/>
      <c r="M89" s="16"/>
      <c r="N89" s="16"/>
      <c r="O89" s="16"/>
      <c r="P89" s="16"/>
      <c r="Q89" s="16"/>
    </row>
    <row r="90" spans="2:37" x14ac:dyDescent="0.3">
      <c r="B90" s="5"/>
      <c r="C90" s="5"/>
      <c r="D90" s="5"/>
      <c r="E90" s="5"/>
      <c r="F90" s="5"/>
      <c r="G90" s="5"/>
      <c r="H90" s="5"/>
      <c r="T90" s="1" t="s">
        <v>156</v>
      </c>
    </row>
    <row r="91" spans="2:37" x14ac:dyDescent="0.3">
      <c r="T91" s="2"/>
      <c r="U91" s="2" t="s">
        <v>18</v>
      </c>
      <c r="V91" s="2" t="s">
        <v>19</v>
      </c>
    </row>
    <row r="92" spans="2:37" x14ac:dyDescent="0.3">
      <c r="T92" s="2">
        <v>1</v>
      </c>
      <c r="U92" s="2">
        <v>24.33</v>
      </c>
      <c r="V92" s="2">
        <v>24.27</v>
      </c>
    </row>
    <row r="93" spans="2:37" x14ac:dyDescent="0.3">
      <c r="T93" s="2">
        <v>2</v>
      </c>
      <c r="U93" s="2">
        <v>26.67</v>
      </c>
      <c r="V93" s="2">
        <v>27.33</v>
      </c>
    </row>
    <row r="94" spans="2:37" x14ac:dyDescent="0.3">
      <c r="T94" s="2">
        <v>3</v>
      </c>
      <c r="U94" s="2">
        <v>25.47</v>
      </c>
      <c r="V94" s="2">
        <v>25.47</v>
      </c>
      <c r="AI94" s="1" t="s">
        <v>162</v>
      </c>
    </row>
    <row r="95" spans="2:37" x14ac:dyDescent="0.3">
      <c r="T95" s="2">
        <v>4</v>
      </c>
      <c r="U95" s="2">
        <v>24.33</v>
      </c>
      <c r="V95" s="2">
        <v>25</v>
      </c>
      <c r="AI95" s="2"/>
      <c r="AJ95" s="2" t="s">
        <v>18</v>
      </c>
      <c r="AK95" s="2" t="s">
        <v>19</v>
      </c>
    </row>
    <row r="96" spans="2:37" x14ac:dyDescent="0.3">
      <c r="T96" s="2">
        <v>5</v>
      </c>
      <c r="U96" s="2">
        <v>26.73</v>
      </c>
      <c r="V96" s="2">
        <v>27.8</v>
      </c>
      <c r="AI96" s="2">
        <v>3</v>
      </c>
      <c r="AJ96" s="2">
        <v>86.33</v>
      </c>
      <c r="AK96" s="2">
        <v>98.33</v>
      </c>
    </row>
    <row r="97" spans="20:37" x14ac:dyDescent="0.3">
      <c r="T97" s="2"/>
      <c r="U97" s="2"/>
      <c r="V97" s="2"/>
      <c r="AI97" s="2">
        <v>7</v>
      </c>
      <c r="AJ97" s="2">
        <v>127.33</v>
      </c>
      <c r="AK97" s="2">
        <v>70.67</v>
      </c>
    </row>
    <row r="98" spans="20:37" x14ac:dyDescent="0.3">
      <c r="AI98" s="2"/>
      <c r="AJ98" s="2"/>
      <c r="AK98" s="2"/>
    </row>
    <row r="99" spans="20:37" x14ac:dyDescent="0.3">
      <c r="AI99" s="2"/>
      <c r="AJ99" s="2"/>
      <c r="AK99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CBF48-6B39-479D-BB58-A68D0058E4F7}">
  <dimension ref="B3:U113"/>
  <sheetViews>
    <sheetView topLeftCell="B104" zoomScale="83" zoomScaleNormal="103" workbookViewId="0">
      <selection activeCell="J111" sqref="J111"/>
    </sheetView>
  </sheetViews>
  <sheetFormatPr defaultRowHeight="15.6" x14ac:dyDescent="0.3"/>
  <cols>
    <col min="1" max="1" width="8.88671875" style="1"/>
    <col min="2" max="2" width="16" style="1" customWidth="1"/>
    <col min="3" max="3" width="18" style="1" customWidth="1"/>
    <col min="4" max="4" width="16.109375" style="1" customWidth="1"/>
    <col min="5" max="5" width="17.6640625" style="1" customWidth="1"/>
    <col min="6" max="6" width="14.6640625" style="1" customWidth="1"/>
    <col min="7" max="7" width="14.5546875" style="1" customWidth="1"/>
    <col min="8" max="8" width="15.88671875" style="1" customWidth="1"/>
    <col min="9" max="9" width="8.88671875" style="1"/>
    <col min="10" max="10" width="13.44140625" style="1" customWidth="1"/>
    <col min="11" max="11" width="19.109375" style="1" customWidth="1"/>
    <col min="12" max="12" width="27.33203125" style="1" customWidth="1"/>
    <col min="13" max="13" width="16.44140625" style="1" customWidth="1"/>
    <col min="14" max="14" width="11.88671875" style="1" customWidth="1"/>
    <col min="15" max="15" width="10.77734375" style="1" customWidth="1"/>
    <col min="16" max="16" width="11.6640625" style="1" customWidth="1"/>
    <col min="17" max="18" width="8.88671875" style="1"/>
    <col min="19" max="19" width="15" style="1" customWidth="1"/>
    <col min="20" max="20" width="21.77734375" style="1" customWidth="1"/>
    <col min="21" max="21" width="21.33203125" style="1" customWidth="1"/>
    <col min="22" max="16384" width="8.88671875" style="1"/>
  </cols>
  <sheetData>
    <row r="3" spans="2:12" x14ac:dyDescent="0.3">
      <c r="B3" s="26" t="s">
        <v>0</v>
      </c>
      <c r="C3" s="9" t="s">
        <v>1</v>
      </c>
    </row>
    <row r="4" spans="2:12" x14ac:dyDescent="0.3">
      <c r="B4" s="1" t="s">
        <v>2</v>
      </c>
      <c r="F4" s="29" t="s">
        <v>3</v>
      </c>
      <c r="G4" s="29"/>
    </row>
    <row r="5" spans="2:12" x14ac:dyDescent="0.3">
      <c r="B5" s="2" t="s">
        <v>4</v>
      </c>
      <c r="C5" s="10" t="s">
        <v>5</v>
      </c>
      <c r="D5" s="10" t="s">
        <v>6</v>
      </c>
      <c r="F5" s="2" t="s">
        <v>4</v>
      </c>
      <c r="G5" s="10" t="s">
        <v>7</v>
      </c>
      <c r="H5" s="10" t="s">
        <v>6</v>
      </c>
    </row>
    <row r="6" spans="2:12" x14ac:dyDescent="0.3">
      <c r="B6" s="5">
        <v>1</v>
      </c>
      <c r="C6" s="5">
        <v>278</v>
      </c>
      <c r="D6" s="5">
        <v>17</v>
      </c>
      <c r="F6" s="17">
        <v>1</v>
      </c>
      <c r="G6" s="17">
        <v>315</v>
      </c>
      <c r="H6" s="17">
        <v>17</v>
      </c>
      <c r="J6" s="2" t="s">
        <v>139</v>
      </c>
      <c r="K6" s="2" t="s">
        <v>140</v>
      </c>
      <c r="L6" s="2" t="s">
        <v>141</v>
      </c>
    </row>
    <row r="7" spans="2:12" x14ac:dyDescent="0.3">
      <c r="B7" s="5">
        <v>2</v>
      </c>
      <c r="C7" s="5">
        <v>292</v>
      </c>
      <c r="D7" s="5">
        <v>15</v>
      </c>
      <c r="F7" s="17">
        <v>2</v>
      </c>
      <c r="G7" s="17">
        <v>263</v>
      </c>
      <c r="H7" s="17">
        <v>15.5</v>
      </c>
      <c r="J7" s="2">
        <v>1</v>
      </c>
      <c r="K7" s="2">
        <v>331.83</v>
      </c>
      <c r="L7" s="2">
        <v>310.8</v>
      </c>
    </row>
    <row r="8" spans="2:12" x14ac:dyDescent="0.3">
      <c r="B8" s="5">
        <v>3</v>
      </c>
      <c r="C8" s="5">
        <v>367</v>
      </c>
      <c r="D8" s="5">
        <v>18</v>
      </c>
      <c r="F8" s="17">
        <v>3</v>
      </c>
      <c r="G8" s="17">
        <v>405</v>
      </c>
      <c r="H8" s="17">
        <v>15</v>
      </c>
      <c r="J8" s="2">
        <v>2</v>
      </c>
      <c r="K8" s="2">
        <v>272.3</v>
      </c>
      <c r="L8" s="2">
        <v>281.64</v>
      </c>
    </row>
    <row r="9" spans="2:12" x14ac:dyDescent="0.3">
      <c r="B9" s="5">
        <v>4</v>
      </c>
      <c r="C9" s="5">
        <v>359</v>
      </c>
      <c r="D9" s="5">
        <v>14</v>
      </c>
      <c r="F9" s="17">
        <v>4</v>
      </c>
      <c r="G9" s="17">
        <v>260</v>
      </c>
      <c r="H9" s="17">
        <v>14.5</v>
      </c>
      <c r="J9" s="2">
        <v>3</v>
      </c>
      <c r="K9" s="2">
        <v>345</v>
      </c>
      <c r="L9" s="2">
        <v>364.6</v>
      </c>
    </row>
    <row r="10" spans="2:12" x14ac:dyDescent="0.3">
      <c r="B10" s="5">
        <v>5</v>
      </c>
      <c r="C10" s="5">
        <v>373</v>
      </c>
      <c r="D10" s="5">
        <v>17.5</v>
      </c>
      <c r="F10" s="17">
        <v>5</v>
      </c>
      <c r="G10" s="17">
        <v>360</v>
      </c>
      <c r="H10" s="17">
        <v>15.5</v>
      </c>
      <c r="J10" s="2">
        <v>4</v>
      </c>
      <c r="K10" s="2">
        <v>333.67</v>
      </c>
      <c r="L10" s="2">
        <v>226.56</v>
      </c>
    </row>
    <row r="11" spans="2:12" x14ac:dyDescent="0.3">
      <c r="B11" s="5">
        <v>6</v>
      </c>
      <c r="C11" s="5">
        <v>279</v>
      </c>
      <c r="D11" s="5">
        <v>16.5</v>
      </c>
      <c r="F11" s="17">
        <v>6</v>
      </c>
      <c r="G11" s="17">
        <v>329</v>
      </c>
      <c r="H11" s="17">
        <v>15.5</v>
      </c>
      <c r="J11" s="2">
        <v>5</v>
      </c>
      <c r="K11" s="2">
        <v>408.43</v>
      </c>
      <c r="L11" s="2">
        <v>351.25</v>
      </c>
    </row>
    <row r="12" spans="2:12" x14ac:dyDescent="0.3">
      <c r="B12" s="5">
        <v>7</v>
      </c>
      <c r="C12" s="5">
        <v>435</v>
      </c>
      <c r="D12" s="5">
        <v>17</v>
      </c>
      <c r="F12" s="17">
        <v>7</v>
      </c>
      <c r="G12" s="17">
        <v>255</v>
      </c>
      <c r="H12" s="17">
        <v>16</v>
      </c>
      <c r="J12" s="2"/>
      <c r="K12" s="2"/>
      <c r="L12" s="2"/>
    </row>
    <row r="13" spans="2:12" x14ac:dyDescent="0.3">
      <c r="B13" s="5">
        <v>8</v>
      </c>
      <c r="C13" s="5">
        <v>436</v>
      </c>
      <c r="D13" s="5">
        <v>20</v>
      </c>
      <c r="F13" s="17">
        <v>8</v>
      </c>
      <c r="G13" s="17">
        <v>249</v>
      </c>
      <c r="H13" s="17">
        <v>13.5</v>
      </c>
      <c r="J13" s="2"/>
      <c r="K13" s="2"/>
      <c r="L13" s="2"/>
    </row>
    <row r="14" spans="2:12" x14ac:dyDescent="0.3">
      <c r="B14" s="5">
        <v>9</v>
      </c>
      <c r="C14" s="5">
        <v>272</v>
      </c>
      <c r="D14" s="5">
        <v>17</v>
      </c>
      <c r="F14" s="17">
        <v>9</v>
      </c>
      <c r="G14" s="17">
        <v>351</v>
      </c>
      <c r="H14" s="17">
        <v>17.5</v>
      </c>
    </row>
    <row r="15" spans="2:12" x14ac:dyDescent="0.3">
      <c r="B15" s="5">
        <v>10</v>
      </c>
      <c r="C15" s="5">
        <v>138</v>
      </c>
      <c r="D15" s="5">
        <v>12</v>
      </c>
      <c r="F15" s="17">
        <v>10</v>
      </c>
      <c r="G15" s="17">
        <v>321</v>
      </c>
      <c r="H15" s="17">
        <v>15</v>
      </c>
    </row>
    <row r="16" spans="2:12" x14ac:dyDescent="0.3">
      <c r="B16" s="5">
        <v>11</v>
      </c>
      <c r="C16" s="5">
        <v>396</v>
      </c>
      <c r="D16" s="5">
        <v>17</v>
      </c>
      <c r="F16" s="2"/>
      <c r="G16" s="2"/>
      <c r="H16" s="2"/>
    </row>
    <row r="17" spans="2:12" x14ac:dyDescent="0.3">
      <c r="B17" s="5">
        <v>12</v>
      </c>
      <c r="C17" s="5">
        <v>357</v>
      </c>
      <c r="D17" s="5">
        <v>18</v>
      </c>
      <c r="F17" s="2"/>
      <c r="G17" s="2"/>
      <c r="H17" s="2"/>
    </row>
    <row r="18" spans="2:12" x14ac:dyDescent="0.3">
      <c r="B18" s="6" t="s">
        <v>8</v>
      </c>
      <c r="C18" s="7">
        <f>AVERAGE(C6:C17)</f>
        <v>331.83333333333331</v>
      </c>
      <c r="D18" s="7">
        <f>AVERAGE(D6:D17)</f>
        <v>16.583333333333332</v>
      </c>
      <c r="F18" s="6" t="s">
        <v>8</v>
      </c>
      <c r="G18" s="7">
        <f>AVERAGE(G6:G15)</f>
        <v>310.8</v>
      </c>
      <c r="H18" s="7">
        <f>AVERAGE(H6:H15)</f>
        <v>15.5</v>
      </c>
      <c r="J18" s="2" t="s">
        <v>142</v>
      </c>
      <c r="K18" s="2" t="s">
        <v>143</v>
      </c>
      <c r="L18" s="2" t="s">
        <v>144</v>
      </c>
    </row>
    <row r="19" spans="2:12" x14ac:dyDescent="0.3">
      <c r="B19" s="6" t="s">
        <v>9</v>
      </c>
      <c r="C19" s="7">
        <f>_xlfn.STDEV.S(C6:C17)</f>
        <v>84.391763205716373</v>
      </c>
      <c r="D19" s="7">
        <f>_xlfn.STDEV.S(D6:D17)</f>
        <v>2.0761999086326073</v>
      </c>
      <c r="F19" s="6" t="s">
        <v>9</v>
      </c>
      <c r="G19" s="7">
        <f>_xlfn.STDEV.S(G6:G15)</f>
        <v>52.874694640568194</v>
      </c>
      <c r="H19" s="7">
        <f>_xlfn.STDEV.S(H6:H15)</f>
        <v>1.1547005383792515</v>
      </c>
      <c r="J19" s="2">
        <v>1</v>
      </c>
      <c r="K19" s="2">
        <v>16.579999999999998</v>
      </c>
      <c r="L19" s="2">
        <v>15.5</v>
      </c>
    </row>
    <row r="20" spans="2:12" x14ac:dyDescent="0.3">
      <c r="B20" s="2"/>
      <c r="C20" s="2"/>
      <c r="D20" s="2"/>
      <c r="F20" s="2"/>
      <c r="G20" s="2"/>
      <c r="H20" s="2"/>
      <c r="J20" s="2">
        <v>2</v>
      </c>
      <c r="K20" s="2">
        <v>14.9</v>
      </c>
      <c r="L20" s="2">
        <v>15.43</v>
      </c>
    </row>
    <row r="21" spans="2:12" x14ac:dyDescent="0.3">
      <c r="J21" s="2">
        <v>3</v>
      </c>
      <c r="K21" s="2">
        <v>17.38</v>
      </c>
      <c r="L21" s="2">
        <v>16.7</v>
      </c>
    </row>
    <row r="22" spans="2:12" x14ac:dyDescent="0.3">
      <c r="J22" s="2">
        <v>4</v>
      </c>
      <c r="K22" s="2">
        <v>16.829999999999998</v>
      </c>
      <c r="L22" s="2">
        <v>14.78</v>
      </c>
    </row>
    <row r="23" spans="2:12" x14ac:dyDescent="0.3">
      <c r="J23" s="2">
        <v>5</v>
      </c>
      <c r="K23" s="2">
        <v>17.29</v>
      </c>
      <c r="L23" s="2">
        <v>16.690000000000001</v>
      </c>
    </row>
    <row r="24" spans="2:12" x14ac:dyDescent="0.3">
      <c r="B24" s="26" t="s">
        <v>10</v>
      </c>
      <c r="C24" s="9" t="s">
        <v>11</v>
      </c>
      <c r="J24" s="2"/>
      <c r="K24" s="2"/>
      <c r="L24" s="2"/>
    </row>
    <row r="25" spans="2:12" x14ac:dyDescent="0.3">
      <c r="B25" s="1" t="s">
        <v>2</v>
      </c>
      <c r="F25" s="1" t="s">
        <v>12</v>
      </c>
      <c r="J25" s="2"/>
      <c r="K25" s="2"/>
      <c r="L25" s="2"/>
    </row>
    <row r="26" spans="2:12" x14ac:dyDescent="0.3">
      <c r="B26" s="2" t="s">
        <v>4</v>
      </c>
      <c r="C26" s="10" t="s">
        <v>7</v>
      </c>
      <c r="D26" s="10" t="s">
        <v>13</v>
      </c>
      <c r="F26" s="2" t="s">
        <v>4</v>
      </c>
      <c r="G26" s="10" t="s">
        <v>7</v>
      </c>
      <c r="H26" s="10" t="s">
        <v>13</v>
      </c>
    </row>
    <row r="27" spans="2:12" x14ac:dyDescent="0.3">
      <c r="B27" s="5">
        <v>1</v>
      </c>
      <c r="C27" s="5">
        <v>248</v>
      </c>
      <c r="D27" s="5">
        <v>13.5</v>
      </c>
      <c r="F27" s="17">
        <v>1</v>
      </c>
      <c r="G27" s="17">
        <v>447</v>
      </c>
      <c r="H27" s="17">
        <v>17</v>
      </c>
    </row>
    <row r="28" spans="2:12" x14ac:dyDescent="0.3">
      <c r="B28" s="5">
        <v>2</v>
      </c>
      <c r="C28" s="5">
        <v>276</v>
      </c>
      <c r="D28" s="5">
        <v>14</v>
      </c>
      <c r="F28" s="17">
        <v>2</v>
      </c>
      <c r="G28" s="17">
        <v>361</v>
      </c>
      <c r="H28" s="17">
        <v>17.5</v>
      </c>
    </row>
    <row r="29" spans="2:12" x14ac:dyDescent="0.3">
      <c r="B29" s="5">
        <v>3</v>
      </c>
      <c r="C29" s="5">
        <v>260</v>
      </c>
      <c r="D29" s="5">
        <v>14.5</v>
      </c>
      <c r="F29" s="17">
        <v>3</v>
      </c>
      <c r="G29" s="17">
        <v>228</v>
      </c>
      <c r="H29" s="17">
        <v>14</v>
      </c>
    </row>
    <row r="30" spans="2:12" x14ac:dyDescent="0.3">
      <c r="B30" s="5">
        <v>4</v>
      </c>
      <c r="C30" s="5">
        <v>316</v>
      </c>
      <c r="D30" s="5">
        <v>17</v>
      </c>
      <c r="F30" s="17">
        <v>4</v>
      </c>
      <c r="G30" s="17">
        <v>147</v>
      </c>
      <c r="H30" s="17">
        <v>13</v>
      </c>
    </row>
    <row r="31" spans="2:12" x14ac:dyDescent="0.3">
      <c r="B31" s="5">
        <v>5</v>
      </c>
      <c r="C31" s="5">
        <v>123</v>
      </c>
      <c r="D31" s="5">
        <v>11.5</v>
      </c>
      <c r="F31" s="17">
        <v>5</v>
      </c>
      <c r="G31" s="17">
        <v>213</v>
      </c>
      <c r="H31" s="17">
        <v>13.5</v>
      </c>
    </row>
    <row r="32" spans="2:12" x14ac:dyDescent="0.3">
      <c r="B32" s="5">
        <v>6</v>
      </c>
      <c r="C32" s="5">
        <v>262</v>
      </c>
      <c r="D32" s="5">
        <v>14</v>
      </c>
      <c r="F32" s="17">
        <v>6</v>
      </c>
      <c r="G32" s="17">
        <v>349</v>
      </c>
      <c r="H32" s="17">
        <v>18</v>
      </c>
    </row>
    <row r="33" spans="2:21" x14ac:dyDescent="0.3">
      <c r="B33" s="5">
        <v>7</v>
      </c>
      <c r="C33" s="5">
        <v>387</v>
      </c>
      <c r="D33" s="5">
        <v>17</v>
      </c>
      <c r="F33" s="17">
        <v>7</v>
      </c>
      <c r="G33" s="17">
        <v>134</v>
      </c>
      <c r="H33" s="17">
        <v>12.5</v>
      </c>
    </row>
    <row r="34" spans="2:21" x14ac:dyDescent="0.3">
      <c r="B34" s="5">
        <v>8</v>
      </c>
      <c r="C34" s="5">
        <v>403</v>
      </c>
      <c r="D34" s="5">
        <v>17.5</v>
      </c>
      <c r="F34" s="17">
        <v>8</v>
      </c>
      <c r="G34" s="17">
        <v>280</v>
      </c>
      <c r="H34" s="17">
        <v>14.5</v>
      </c>
    </row>
    <row r="35" spans="2:21" x14ac:dyDescent="0.3">
      <c r="B35" s="5">
        <v>9</v>
      </c>
      <c r="C35" s="5">
        <v>306</v>
      </c>
      <c r="D35" s="5">
        <v>17.5</v>
      </c>
      <c r="F35" s="17">
        <v>9</v>
      </c>
      <c r="G35" s="17">
        <v>372</v>
      </c>
      <c r="H35" s="17">
        <v>18</v>
      </c>
    </row>
    <row r="36" spans="2:21" x14ac:dyDescent="0.3">
      <c r="B36" s="5">
        <v>10</v>
      </c>
      <c r="C36" s="5">
        <v>142</v>
      </c>
      <c r="D36" s="5">
        <v>12.5</v>
      </c>
      <c r="F36" s="17">
        <v>10</v>
      </c>
      <c r="G36" s="17">
        <v>112</v>
      </c>
      <c r="H36" s="17">
        <v>10.5</v>
      </c>
    </row>
    <row r="37" spans="2:21" x14ac:dyDescent="0.3">
      <c r="B37" s="6" t="s">
        <v>8</v>
      </c>
      <c r="C37" s="6">
        <f>AVERAGE(C27:C36)</f>
        <v>272.3</v>
      </c>
      <c r="D37" s="6">
        <f>AVERAGE(D27:D36)</f>
        <v>14.9</v>
      </c>
      <c r="F37" s="17">
        <v>11</v>
      </c>
      <c r="G37" s="17">
        <v>402</v>
      </c>
      <c r="H37" s="17">
        <v>18</v>
      </c>
    </row>
    <row r="38" spans="2:21" x14ac:dyDescent="0.3">
      <c r="B38" s="6" t="s">
        <v>9</v>
      </c>
      <c r="C38" s="7">
        <f>_xlfn.STDEV.S(C27:C36)</f>
        <v>90.316788152713997</v>
      </c>
      <c r="D38" s="7">
        <f>_xlfn.STDEV.S(D27:D36)</f>
        <v>2.1959558789334164</v>
      </c>
      <c r="F38" s="17">
        <v>12</v>
      </c>
      <c r="G38" s="17">
        <v>378</v>
      </c>
      <c r="H38" s="17">
        <v>18.5</v>
      </c>
      <c r="J38" s="2" t="s">
        <v>23</v>
      </c>
      <c r="K38" s="2" t="s">
        <v>24</v>
      </c>
      <c r="L38" s="2" t="s">
        <v>25</v>
      </c>
      <c r="M38" s="2" t="s">
        <v>26</v>
      </c>
      <c r="N38" s="2" t="s">
        <v>27</v>
      </c>
      <c r="O38" s="2" t="s">
        <v>28</v>
      </c>
      <c r="P38" s="2" t="s">
        <v>29</v>
      </c>
    </row>
    <row r="39" spans="2:21" x14ac:dyDescent="0.3">
      <c r="B39" s="2"/>
      <c r="C39" s="2"/>
      <c r="D39" s="2"/>
      <c r="F39" s="17">
        <v>13</v>
      </c>
      <c r="G39" s="17">
        <v>277</v>
      </c>
      <c r="H39" s="17">
        <v>15</v>
      </c>
      <c r="J39" s="16" t="s">
        <v>30</v>
      </c>
      <c r="K39" s="2">
        <v>331.83</v>
      </c>
      <c r="L39" s="2">
        <v>272.3</v>
      </c>
      <c r="M39" s="2"/>
      <c r="N39" s="2"/>
      <c r="O39" s="2"/>
      <c r="P39" s="2"/>
    </row>
    <row r="40" spans="2:21" x14ac:dyDescent="0.3">
      <c r="B40" s="2"/>
      <c r="C40" s="2"/>
      <c r="D40" s="2"/>
      <c r="F40" s="17">
        <v>14</v>
      </c>
      <c r="G40" s="17">
        <v>243</v>
      </c>
      <c r="H40" s="17">
        <v>16</v>
      </c>
      <c r="J40" s="16" t="s">
        <v>31</v>
      </c>
      <c r="K40" s="2">
        <v>310.8</v>
      </c>
      <c r="L40" s="2">
        <v>281.64</v>
      </c>
      <c r="M40" s="2"/>
      <c r="N40" s="2"/>
      <c r="O40" s="2"/>
      <c r="P40" s="2"/>
    </row>
    <row r="41" spans="2:21" x14ac:dyDescent="0.3">
      <c r="B41" s="2"/>
      <c r="C41" s="2"/>
      <c r="D41" s="2"/>
      <c r="F41" s="6" t="s">
        <v>8</v>
      </c>
      <c r="G41" s="7">
        <f>AVERAGE(G27:G40)</f>
        <v>281.64285714285717</v>
      </c>
      <c r="H41" s="7">
        <f>AVERAGE(H27:H40)</f>
        <v>15.428571428571429</v>
      </c>
    </row>
    <row r="42" spans="2:21" x14ac:dyDescent="0.3">
      <c r="F42" s="6" t="s">
        <v>9</v>
      </c>
      <c r="G42" s="7">
        <f>_xlfn.STDEV.S(G27:G40)</f>
        <v>106.67175182475742</v>
      </c>
      <c r="H42" s="7">
        <f>_xlfn.STDEV.S(H27:H40)</f>
        <v>2.5104178541027413</v>
      </c>
    </row>
    <row r="43" spans="2:21" x14ac:dyDescent="0.3">
      <c r="F43" s="2"/>
      <c r="G43" s="2"/>
      <c r="H43" s="2"/>
    </row>
    <row r="44" spans="2:21" x14ac:dyDescent="0.3">
      <c r="S44" s="2" t="s">
        <v>142</v>
      </c>
      <c r="T44" s="2" t="s">
        <v>145</v>
      </c>
      <c r="U44" s="2" t="s">
        <v>146</v>
      </c>
    </row>
    <row r="45" spans="2:21" x14ac:dyDescent="0.3">
      <c r="S45" s="2">
        <v>3</v>
      </c>
      <c r="T45" s="2"/>
      <c r="U45" s="2"/>
    </row>
    <row r="46" spans="2:21" x14ac:dyDescent="0.3">
      <c r="S46" s="2">
        <v>4</v>
      </c>
      <c r="T46" s="2"/>
      <c r="U46" s="2"/>
    </row>
    <row r="47" spans="2:21" x14ac:dyDescent="0.3">
      <c r="B47" s="26" t="s">
        <v>14</v>
      </c>
      <c r="C47" s="9" t="s">
        <v>15</v>
      </c>
      <c r="S47" s="2">
        <v>5</v>
      </c>
      <c r="T47" s="2"/>
      <c r="U47" s="2"/>
    </row>
    <row r="48" spans="2:21" x14ac:dyDescent="0.3">
      <c r="B48" s="1" t="s">
        <v>2</v>
      </c>
      <c r="F48" s="29" t="s">
        <v>3</v>
      </c>
      <c r="G48" s="29"/>
      <c r="S48" s="2">
        <v>7</v>
      </c>
      <c r="T48" s="2"/>
      <c r="U48" s="2"/>
    </row>
    <row r="49" spans="2:21" x14ac:dyDescent="0.3">
      <c r="B49" s="2" t="s">
        <v>4</v>
      </c>
      <c r="C49" s="10" t="s">
        <v>5</v>
      </c>
      <c r="D49" s="10" t="s">
        <v>6</v>
      </c>
      <c r="F49" s="2" t="s">
        <v>4</v>
      </c>
      <c r="G49" s="10" t="s">
        <v>7</v>
      </c>
      <c r="H49" s="10" t="s">
        <v>6</v>
      </c>
      <c r="S49" s="2"/>
      <c r="T49" s="2"/>
      <c r="U49" s="2"/>
    </row>
    <row r="50" spans="2:21" x14ac:dyDescent="0.3">
      <c r="B50" s="5">
        <v>1</v>
      </c>
      <c r="C50" s="5">
        <v>364</v>
      </c>
      <c r="D50" s="5">
        <v>17</v>
      </c>
      <c r="F50" s="17">
        <v>1</v>
      </c>
      <c r="G50" s="17">
        <v>520</v>
      </c>
      <c r="H50" s="17">
        <v>20</v>
      </c>
      <c r="S50" s="2"/>
      <c r="T50" s="2"/>
      <c r="U50" s="2"/>
    </row>
    <row r="51" spans="2:21" x14ac:dyDescent="0.3">
      <c r="B51" s="5">
        <v>2</v>
      </c>
      <c r="C51" s="5">
        <v>288</v>
      </c>
      <c r="D51" s="5">
        <v>16.5</v>
      </c>
      <c r="F51" s="17">
        <v>2</v>
      </c>
      <c r="G51" s="17">
        <v>396</v>
      </c>
      <c r="H51" s="17">
        <v>17.5</v>
      </c>
    </row>
    <row r="52" spans="2:21" x14ac:dyDescent="0.3">
      <c r="B52" s="5">
        <v>3</v>
      </c>
      <c r="C52" s="5">
        <v>421</v>
      </c>
      <c r="D52" s="5">
        <v>19.5</v>
      </c>
      <c r="F52" s="17">
        <v>3</v>
      </c>
      <c r="G52" s="17">
        <v>241</v>
      </c>
      <c r="H52" s="17">
        <v>14</v>
      </c>
    </row>
    <row r="53" spans="2:21" x14ac:dyDescent="0.3">
      <c r="B53" s="5">
        <v>4</v>
      </c>
      <c r="C53" s="5">
        <v>307</v>
      </c>
      <c r="D53" s="5">
        <v>16.5</v>
      </c>
      <c r="F53" s="17">
        <v>4</v>
      </c>
      <c r="G53" s="17">
        <v>294</v>
      </c>
      <c r="H53" s="17">
        <v>14</v>
      </c>
      <c r="J53" s="2" t="s">
        <v>23</v>
      </c>
      <c r="K53" s="2" t="s">
        <v>24</v>
      </c>
      <c r="L53" s="2" t="s">
        <v>25</v>
      </c>
      <c r="M53" s="2" t="s">
        <v>26</v>
      </c>
      <c r="N53" s="2" t="s">
        <v>27</v>
      </c>
      <c r="O53" s="2" t="s">
        <v>28</v>
      </c>
      <c r="P53" s="2" t="s">
        <v>29</v>
      </c>
    </row>
    <row r="54" spans="2:21" x14ac:dyDescent="0.3">
      <c r="B54" s="6" t="s">
        <v>8</v>
      </c>
      <c r="C54" s="6">
        <f>AVERAGE(C50:C53)</f>
        <v>345</v>
      </c>
      <c r="D54" s="7">
        <f>AVERAGE(D50:D53)</f>
        <v>17.375</v>
      </c>
      <c r="F54" s="17">
        <v>5</v>
      </c>
      <c r="G54" s="17">
        <v>372</v>
      </c>
      <c r="H54" s="17">
        <v>18</v>
      </c>
      <c r="J54" s="16" t="s">
        <v>30</v>
      </c>
      <c r="K54" s="2">
        <v>272.3</v>
      </c>
      <c r="L54" s="2">
        <v>345</v>
      </c>
      <c r="M54" s="2"/>
      <c r="N54" s="2"/>
      <c r="O54" s="2"/>
      <c r="P54" s="2"/>
    </row>
    <row r="55" spans="2:21" x14ac:dyDescent="0.3">
      <c r="B55" s="6" t="s">
        <v>9</v>
      </c>
      <c r="C55" s="7">
        <f>_xlfn.STDEV.S(C50:C53)</f>
        <v>60.083275543199207</v>
      </c>
      <c r="D55" s="7">
        <f>_xlfn.STDEV.S(D50:D53)</f>
        <v>1.4361406616345072</v>
      </c>
      <c r="F55" s="6" t="s">
        <v>8</v>
      </c>
      <c r="G55" s="6">
        <f>AVERAGE(G50:G54)</f>
        <v>364.6</v>
      </c>
      <c r="H55" s="6">
        <f>AVERAGE(H50:H54)</f>
        <v>16.7</v>
      </c>
      <c r="J55" s="16" t="s">
        <v>31</v>
      </c>
      <c r="K55" s="2">
        <v>281.64</v>
      </c>
      <c r="L55" s="2">
        <v>364.6</v>
      </c>
      <c r="M55" s="2"/>
      <c r="N55" s="2"/>
      <c r="O55" s="2"/>
      <c r="P55" s="2"/>
    </row>
    <row r="56" spans="2:21" x14ac:dyDescent="0.3">
      <c r="F56" s="6" t="s">
        <v>9</v>
      </c>
      <c r="G56" s="7">
        <f>_xlfn.STDEV.S(G50:G54)</f>
        <v>106.59643521244033</v>
      </c>
      <c r="H56" s="7">
        <f>_xlfn.STDEV.S(H50:H54)</f>
        <v>2.6362852652928113</v>
      </c>
    </row>
    <row r="61" spans="2:21" x14ac:dyDescent="0.3">
      <c r="B61" s="26" t="s">
        <v>16</v>
      </c>
      <c r="C61" s="9" t="s">
        <v>17</v>
      </c>
    </row>
    <row r="62" spans="2:21" x14ac:dyDescent="0.3">
      <c r="B62" s="1" t="s">
        <v>18</v>
      </c>
      <c r="F62" s="1" t="s">
        <v>19</v>
      </c>
    </row>
    <row r="63" spans="2:21" x14ac:dyDescent="0.3">
      <c r="B63" s="2" t="s">
        <v>4</v>
      </c>
      <c r="C63" s="10" t="s">
        <v>7</v>
      </c>
      <c r="D63" s="10" t="s">
        <v>13</v>
      </c>
      <c r="F63" s="2" t="s">
        <v>4</v>
      </c>
      <c r="G63" s="10" t="s">
        <v>7</v>
      </c>
      <c r="H63" s="10" t="s">
        <v>13</v>
      </c>
    </row>
    <row r="64" spans="2:21" x14ac:dyDescent="0.3">
      <c r="B64" s="5">
        <v>1</v>
      </c>
      <c r="C64" s="5">
        <v>369</v>
      </c>
      <c r="D64" s="5">
        <v>18.5</v>
      </c>
      <c r="F64" s="17">
        <v>1</v>
      </c>
      <c r="G64" s="17">
        <v>320</v>
      </c>
      <c r="H64" s="17">
        <v>18</v>
      </c>
    </row>
    <row r="65" spans="2:16" x14ac:dyDescent="0.3">
      <c r="B65" s="5">
        <v>2</v>
      </c>
      <c r="C65" s="5">
        <v>357</v>
      </c>
      <c r="D65" s="5">
        <v>17</v>
      </c>
      <c r="F65" s="17">
        <v>2</v>
      </c>
      <c r="G65" s="17">
        <v>215</v>
      </c>
      <c r="H65" s="17">
        <v>15.5</v>
      </c>
    </row>
    <row r="66" spans="2:16" x14ac:dyDescent="0.3">
      <c r="B66" s="5">
        <v>3</v>
      </c>
      <c r="C66" s="5">
        <v>346</v>
      </c>
      <c r="D66" s="5">
        <v>17.5</v>
      </c>
      <c r="F66" s="17">
        <v>3</v>
      </c>
      <c r="G66" s="17">
        <v>140</v>
      </c>
      <c r="H66" s="17">
        <v>12</v>
      </c>
    </row>
    <row r="67" spans="2:16" x14ac:dyDescent="0.3">
      <c r="B67" s="5">
        <v>4</v>
      </c>
      <c r="C67" s="5">
        <v>182</v>
      </c>
      <c r="D67" s="5">
        <v>12.5</v>
      </c>
      <c r="F67" s="17">
        <v>4</v>
      </c>
      <c r="G67" s="17">
        <v>170</v>
      </c>
      <c r="H67" s="17">
        <v>10</v>
      </c>
    </row>
    <row r="68" spans="2:16" x14ac:dyDescent="0.3">
      <c r="B68" s="5">
        <v>5</v>
      </c>
      <c r="C68" s="5">
        <v>408</v>
      </c>
      <c r="D68" s="5">
        <v>18</v>
      </c>
      <c r="F68" s="17">
        <v>5</v>
      </c>
      <c r="G68" s="17">
        <v>285</v>
      </c>
      <c r="H68" s="17">
        <v>16.5</v>
      </c>
    </row>
    <row r="69" spans="2:16" x14ac:dyDescent="0.3">
      <c r="B69" s="5">
        <v>6</v>
      </c>
      <c r="C69" s="5">
        <v>396</v>
      </c>
      <c r="D69" s="5">
        <v>17.5</v>
      </c>
      <c r="F69" s="17">
        <v>6</v>
      </c>
      <c r="G69" s="17">
        <v>125</v>
      </c>
      <c r="H69" s="17">
        <v>13</v>
      </c>
    </row>
    <row r="70" spans="2:16" x14ac:dyDescent="0.3">
      <c r="B70" s="5">
        <v>7</v>
      </c>
      <c r="C70" s="5">
        <v>287</v>
      </c>
      <c r="D70" s="5">
        <v>18</v>
      </c>
      <c r="F70" s="17">
        <v>7</v>
      </c>
      <c r="G70" s="17">
        <v>251</v>
      </c>
      <c r="H70" s="17">
        <v>16.5</v>
      </c>
      <c r="J70" s="2" t="s">
        <v>23</v>
      </c>
      <c r="K70" s="2" t="s">
        <v>24</v>
      </c>
      <c r="L70" s="2" t="s">
        <v>25</v>
      </c>
      <c r="M70" s="2" t="s">
        <v>26</v>
      </c>
      <c r="N70" s="2" t="s">
        <v>27</v>
      </c>
      <c r="O70" s="2" t="s">
        <v>28</v>
      </c>
      <c r="P70" s="2" t="s">
        <v>29</v>
      </c>
    </row>
    <row r="71" spans="2:16" x14ac:dyDescent="0.3">
      <c r="B71" s="5">
        <v>8</v>
      </c>
      <c r="C71" s="5">
        <v>381</v>
      </c>
      <c r="D71" s="5">
        <v>16.5</v>
      </c>
      <c r="F71" s="17">
        <v>8</v>
      </c>
      <c r="G71" s="27">
        <v>165</v>
      </c>
      <c r="H71" s="17">
        <v>14</v>
      </c>
      <c r="J71" s="16" t="s">
        <v>30</v>
      </c>
      <c r="K71" s="2">
        <v>345</v>
      </c>
      <c r="L71" s="2">
        <v>333.67</v>
      </c>
      <c r="M71" s="2"/>
      <c r="N71" s="2"/>
      <c r="O71" s="2"/>
      <c r="P71" s="2"/>
    </row>
    <row r="72" spans="2:16" x14ac:dyDescent="0.3">
      <c r="B72" s="5">
        <v>9</v>
      </c>
      <c r="C72" s="5">
        <v>277</v>
      </c>
      <c r="D72" s="5">
        <v>16</v>
      </c>
      <c r="F72" s="17">
        <v>9</v>
      </c>
      <c r="G72" s="17">
        <v>368</v>
      </c>
      <c r="H72" s="17">
        <v>17.5</v>
      </c>
      <c r="J72" s="16" t="s">
        <v>31</v>
      </c>
      <c r="K72" s="2">
        <v>364.6</v>
      </c>
      <c r="L72" s="2">
        <v>226.56</v>
      </c>
      <c r="M72" s="2"/>
      <c r="N72" s="2"/>
      <c r="O72" s="2"/>
      <c r="P72" s="2"/>
    </row>
    <row r="73" spans="2:16" x14ac:dyDescent="0.3">
      <c r="B73" s="6" t="s">
        <v>8</v>
      </c>
      <c r="C73" s="7">
        <f>AVERAGE(C64:C72)</f>
        <v>333.66666666666669</v>
      </c>
      <c r="D73" s="7">
        <f>AVERAGE(D64:D72)</f>
        <v>16.833333333333332</v>
      </c>
      <c r="F73" s="6" t="s">
        <v>8</v>
      </c>
      <c r="G73" s="7">
        <f>AVERAGE(G64:G72)</f>
        <v>226.55555555555554</v>
      </c>
      <c r="H73" s="7">
        <f>AVERAGE(H64:H72)</f>
        <v>14.777777777777779</v>
      </c>
    </row>
    <row r="74" spans="2:16" x14ac:dyDescent="0.3">
      <c r="B74" s="6" t="s">
        <v>20</v>
      </c>
      <c r="C74" s="7">
        <f>_xlfn.STDEV.S(C64:C72)</f>
        <v>72.44653200809546</v>
      </c>
      <c r="D74" s="7">
        <f>_xlfn.STDEV.S(D64:D72)</f>
        <v>1.8027756377319946</v>
      </c>
      <c r="F74" s="6" t="s">
        <v>9</v>
      </c>
      <c r="G74" s="7">
        <f>_xlfn.STDEV.S(G64:G72)</f>
        <v>84.910410302728963</v>
      </c>
      <c r="H74" s="7">
        <f>_xlfn.STDEV.S(H64:H72)</f>
        <v>2.7054471801246569</v>
      </c>
    </row>
    <row r="80" spans="2:16" x14ac:dyDescent="0.3">
      <c r="B80" s="26" t="s">
        <v>21</v>
      </c>
      <c r="C80" s="9" t="s">
        <v>22</v>
      </c>
    </row>
    <row r="81" spans="2:16" x14ac:dyDescent="0.3">
      <c r="B81" s="1" t="s">
        <v>2</v>
      </c>
      <c r="F81" s="1" t="s">
        <v>12</v>
      </c>
    </row>
    <row r="82" spans="2:16" x14ac:dyDescent="0.3">
      <c r="B82" s="2" t="s">
        <v>4</v>
      </c>
      <c r="C82" s="10" t="s">
        <v>7</v>
      </c>
      <c r="D82" s="10" t="s">
        <v>13</v>
      </c>
      <c r="F82" s="2" t="s">
        <v>4</v>
      </c>
      <c r="G82" s="10" t="s">
        <v>7</v>
      </c>
      <c r="H82" s="10" t="s">
        <v>13</v>
      </c>
    </row>
    <row r="83" spans="2:16" x14ac:dyDescent="0.3">
      <c r="B83" s="5">
        <v>1</v>
      </c>
      <c r="C83" s="5">
        <v>354</v>
      </c>
      <c r="D83" s="5">
        <v>15.5</v>
      </c>
      <c r="F83" s="17">
        <v>1</v>
      </c>
      <c r="G83" s="17">
        <v>345</v>
      </c>
      <c r="H83" s="17">
        <v>16</v>
      </c>
    </row>
    <row r="84" spans="2:16" x14ac:dyDescent="0.3">
      <c r="B84" s="5">
        <v>2</v>
      </c>
      <c r="C84" s="5">
        <v>376</v>
      </c>
      <c r="D84" s="5">
        <v>16.5</v>
      </c>
      <c r="F84" s="17">
        <v>2</v>
      </c>
      <c r="G84" s="17">
        <v>355</v>
      </c>
      <c r="H84" s="17">
        <v>16.5</v>
      </c>
    </row>
    <row r="85" spans="2:16" x14ac:dyDescent="0.3">
      <c r="B85" s="5">
        <v>3</v>
      </c>
      <c r="C85" s="5">
        <v>344</v>
      </c>
      <c r="D85" s="5">
        <v>16</v>
      </c>
      <c r="F85" s="17">
        <v>3</v>
      </c>
      <c r="G85" s="17">
        <v>374</v>
      </c>
      <c r="H85" s="17">
        <v>15</v>
      </c>
    </row>
    <row r="86" spans="2:16" x14ac:dyDescent="0.3">
      <c r="B86" s="5">
        <v>4</v>
      </c>
      <c r="C86" s="5">
        <v>434</v>
      </c>
      <c r="D86" s="5">
        <v>18</v>
      </c>
      <c r="F86" s="17">
        <v>4</v>
      </c>
      <c r="G86" s="17">
        <v>435</v>
      </c>
      <c r="H86" s="17">
        <v>17.5</v>
      </c>
    </row>
    <row r="87" spans="2:16" x14ac:dyDescent="0.3">
      <c r="B87" s="5">
        <v>5</v>
      </c>
      <c r="C87" s="5">
        <v>574</v>
      </c>
      <c r="D87" s="5">
        <v>19.5</v>
      </c>
      <c r="F87" s="17">
        <v>5</v>
      </c>
      <c r="G87" s="17">
        <v>423</v>
      </c>
      <c r="H87" s="17">
        <v>18</v>
      </c>
    </row>
    <row r="88" spans="2:16" x14ac:dyDescent="0.3">
      <c r="B88" s="5">
        <v>6</v>
      </c>
      <c r="C88" s="5">
        <v>415</v>
      </c>
      <c r="D88" s="5">
        <v>18.5</v>
      </c>
      <c r="F88" s="17">
        <v>6</v>
      </c>
      <c r="G88" s="17">
        <v>365</v>
      </c>
      <c r="H88" s="17">
        <v>16.5</v>
      </c>
      <c r="J88" s="2" t="s">
        <v>23</v>
      </c>
      <c r="K88" s="2" t="s">
        <v>24</v>
      </c>
      <c r="L88" s="2" t="s">
        <v>25</v>
      </c>
      <c r="M88" s="2" t="s">
        <v>26</v>
      </c>
      <c r="N88" s="2" t="s">
        <v>27</v>
      </c>
      <c r="O88" s="2" t="s">
        <v>28</v>
      </c>
      <c r="P88" s="2" t="s">
        <v>29</v>
      </c>
    </row>
    <row r="89" spans="2:16" x14ac:dyDescent="0.3">
      <c r="B89" s="5">
        <v>7</v>
      </c>
      <c r="C89" s="5">
        <v>362</v>
      </c>
      <c r="D89" s="5">
        <v>17</v>
      </c>
      <c r="F89" s="17">
        <v>7</v>
      </c>
      <c r="G89" s="17">
        <v>156</v>
      </c>
      <c r="H89" s="17">
        <v>13</v>
      </c>
      <c r="J89" s="16" t="s">
        <v>30</v>
      </c>
      <c r="K89" s="2">
        <v>333.67</v>
      </c>
      <c r="L89" s="2">
        <v>408.43</v>
      </c>
      <c r="M89" s="2"/>
      <c r="N89" s="2"/>
      <c r="O89" s="2"/>
      <c r="P89" s="2"/>
    </row>
    <row r="90" spans="2:16" x14ac:dyDescent="0.3">
      <c r="B90" s="6" t="s">
        <v>8</v>
      </c>
      <c r="C90" s="7">
        <f>AVERAGE(C83:C89)</f>
        <v>408.42857142857144</v>
      </c>
      <c r="D90" s="7">
        <f>AVERAGE(D83:D89)</f>
        <v>17.285714285714285</v>
      </c>
      <c r="F90" s="17">
        <v>8</v>
      </c>
      <c r="G90" s="17">
        <v>357</v>
      </c>
      <c r="H90" s="17">
        <v>21</v>
      </c>
      <c r="J90" s="16" t="s">
        <v>31</v>
      </c>
      <c r="K90" s="2">
        <v>226.67</v>
      </c>
      <c r="L90" s="2">
        <v>351.25</v>
      </c>
      <c r="M90" s="2"/>
      <c r="N90" s="2"/>
      <c r="O90" s="2"/>
      <c r="P90" s="2"/>
    </row>
    <row r="91" spans="2:16" x14ac:dyDescent="0.3">
      <c r="B91" s="6" t="s">
        <v>9</v>
      </c>
      <c r="C91" s="7">
        <f>_xlfn.STDEV.S(C83:C89)</f>
        <v>80.033028896110892</v>
      </c>
      <c r="D91" s="7">
        <f>_xlfn.STDEV.S(D83:D89)</f>
        <v>1.4392458342578487</v>
      </c>
      <c r="F91" s="6" t="s">
        <v>8</v>
      </c>
      <c r="G91" s="6">
        <f>AVERAGE(G83:G90)</f>
        <v>351.25</v>
      </c>
      <c r="H91" s="7">
        <f>AVERAGE(H83:H90)</f>
        <v>16.6875</v>
      </c>
    </row>
    <row r="92" spans="2:16" x14ac:dyDescent="0.3">
      <c r="F92" s="6" t="s">
        <v>9</v>
      </c>
      <c r="G92" s="7">
        <f>_xlfn.STDEV.S(G83:G90)</f>
        <v>85.421225197755831</v>
      </c>
      <c r="H92" s="7">
        <f>_xlfn.STDEV.S(H83:H90)</f>
        <v>2.3289712627804455</v>
      </c>
    </row>
    <row r="98" spans="2:8" x14ac:dyDescent="0.3">
      <c r="B98" s="2" t="s">
        <v>23</v>
      </c>
      <c r="C98" s="2" t="s">
        <v>170</v>
      </c>
      <c r="D98" s="2" t="s">
        <v>171</v>
      </c>
      <c r="E98" s="2" t="s">
        <v>172</v>
      </c>
      <c r="F98" s="2" t="s">
        <v>173</v>
      </c>
      <c r="G98" s="2" t="s">
        <v>164</v>
      </c>
      <c r="H98" s="2" t="s">
        <v>81</v>
      </c>
    </row>
    <row r="99" spans="2:8" x14ac:dyDescent="0.3">
      <c r="B99" s="2" t="s">
        <v>18</v>
      </c>
      <c r="C99" s="2">
        <v>331.83</v>
      </c>
      <c r="D99" s="2">
        <v>408.43</v>
      </c>
      <c r="E99" s="2">
        <v>76.599999999999994</v>
      </c>
      <c r="F99" s="2"/>
      <c r="G99" s="2">
        <v>2.3199999999999998</v>
      </c>
      <c r="H99" s="2">
        <v>0.63</v>
      </c>
    </row>
    <row r="100" spans="2:8" x14ac:dyDescent="0.3">
      <c r="B100" s="2" t="s">
        <v>19</v>
      </c>
      <c r="C100" s="2">
        <v>310.8</v>
      </c>
      <c r="D100" s="2">
        <v>351.25</v>
      </c>
      <c r="E100" s="2">
        <v>40.450000000000003</v>
      </c>
      <c r="F100" s="2"/>
      <c r="G100" s="2">
        <v>1.23</v>
      </c>
      <c r="H100" s="2">
        <v>0.37</v>
      </c>
    </row>
    <row r="101" spans="2:8" x14ac:dyDescent="0.3">
      <c r="B101" s="2"/>
      <c r="C101" s="2"/>
      <c r="D101" s="2"/>
      <c r="E101" s="2"/>
      <c r="F101" s="2"/>
      <c r="G101" s="2"/>
      <c r="H101" s="2"/>
    </row>
    <row r="106" spans="2:8" x14ac:dyDescent="0.3">
      <c r="D106" s="2"/>
      <c r="E106" s="2" t="s">
        <v>18</v>
      </c>
      <c r="F106" s="2" t="s">
        <v>19</v>
      </c>
    </row>
    <row r="107" spans="2:8" x14ac:dyDescent="0.3">
      <c r="D107" s="2" t="s">
        <v>164</v>
      </c>
      <c r="E107" s="2">
        <v>2.3199999999999998</v>
      </c>
      <c r="F107" s="2">
        <v>1.23</v>
      </c>
    </row>
    <row r="108" spans="2:8" x14ac:dyDescent="0.3">
      <c r="D108" s="2"/>
      <c r="E108" s="2"/>
      <c r="F108" s="2"/>
    </row>
    <row r="111" spans="2:8" x14ac:dyDescent="0.3">
      <c r="D111" s="2"/>
      <c r="E111" s="2" t="s">
        <v>18</v>
      </c>
      <c r="F111" s="2" t="s">
        <v>19</v>
      </c>
    </row>
    <row r="112" spans="2:8" x14ac:dyDescent="0.3">
      <c r="D112" s="2" t="s">
        <v>81</v>
      </c>
      <c r="E112" s="2">
        <v>0.63</v>
      </c>
      <c r="F112" s="2">
        <v>0.37</v>
      </c>
    </row>
    <row r="113" spans="4:6" x14ac:dyDescent="0.3">
      <c r="D113" s="2"/>
      <c r="E113" s="2"/>
      <c r="F113" s="2"/>
    </row>
  </sheetData>
  <mergeCells count="2">
    <mergeCell ref="F4:G4"/>
    <mergeCell ref="F48:G4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10F85-E937-4F22-8C4A-78455DF78268}">
  <dimension ref="B3:Z76"/>
  <sheetViews>
    <sheetView topLeftCell="A58" zoomScale="52" zoomScaleNormal="158" workbookViewId="0">
      <selection activeCell="J98" sqref="J98"/>
    </sheetView>
  </sheetViews>
  <sheetFormatPr defaultRowHeight="15.6" x14ac:dyDescent="0.3"/>
  <cols>
    <col min="1" max="1" width="8.88671875" style="1"/>
    <col min="2" max="2" width="15.109375" style="1" customWidth="1"/>
    <col min="3" max="3" width="16.77734375" style="1" customWidth="1"/>
    <col min="4" max="4" width="15.6640625" style="1" customWidth="1"/>
    <col min="5" max="5" width="17.109375" style="1" customWidth="1"/>
    <col min="6" max="6" width="16.6640625" style="1" customWidth="1"/>
    <col min="7" max="7" width="12.21875" style="1" customWidth="1"/>
    <col min="8" max="8" width="12.6640625" style="1" customWidth="1"/>
    <col min="9" max="9" width="16" style="1" customWidth="1"/>
    <col min="10" max="10" width="15.33203125" style="1" customWidth="1"/>
    <col min="11" max="11" width="13.88671875" style="1" customWidth="1"/>
    <col min="12" max="12" width="14.21875" style="1" customWidth="1"/>
    <col min="13" max="13" width="14" style="1" customWidth="1"/>
    <col min="14" max="15" width="8.88671875" style="1"/>
    <col min="16" max="16" width="13.88671875" style="1" customWidth="1"/>
    <col min="17" max="17" width="15.109375" style="1" customWidth="1"/>
    <col min="18" max="18" width="13.44140625" style="1" customWidth="1"/>
    <col min="19" max="19" width="12.21875" style="1" customWidth="1"/>
    <col min="20" max="20" width="14.109375" style="1" customWidth="1"/>
    <col min="21" max="23" width="8.88671875" style="1"/>
    <col min="24" max="24" width="25.6640625" style="1" customWidth="1"/>
    <col min="25" max="25" width="8.88671875" style="1"/>
    <col min="26" max="26" width="18.77734375" style="1" customWidth="1"/>
    <col min="27" max="16384" width="8.88671875" style="1"/>
  </cols>
  <sheetData>
    <row r="3" spans="2:26" x14ac:dyDescent="0.3">
      <c r="B3" s="1" t="s">
        <v>32</v>
      </c>
      <c r="I3" s="1" t="s">
        <v>67</v>
      </c>
      <c r="P3" s="1" t="s">
        <v>71</v>
      </c>
    </row>
    <row r="4" spans="2:26" x14ac:dyDescent="0.3">
      <c r="B4" s="2" t="s">
        <v>33</v>
      </c>
      <c r="C4" s="2" t="s">
        <v>34</v>
      </c>
      <c r="D4" s="2">
        <v>1</v>
      </c>
      <c r="E4" s="2">
        <v>2</v>
      </c>
      <c r="F4" s="2" t="s">
        <v>35</v>
      </c>
      <c r="I4" s="2" t="s">
        <v>68</v>
      </c>
      <c r="J4" s="2" t="s">
        <v>34</v>
      </c>
      <c r="K4" s="2">
        <v>1</v>
      </c>
      <c r="L4" s="2">
        <v>2</v>
      </c>
      <c r="M4" s="2" t="s">
        <v>35</v>
      </c>
      <c r="P4" s="2" t="s">
        <v>33</v>
      </c>
      <c r="Q4" s="2" t="s">
        <v>34</v>
      </c>
      <c r="R4" s="2">
        <v>1</v>
      </c>
      <c r="S4" s="2">
        <v>2</v>
      </c>
      <c r="T4" s="2" t="s">
        <v>35</v>
      </c>
    </row>
    <row r="5" spans="2:26" x14ac:dyDescent="0.3">
      <c r="B5" s="12" t="s">
        <v>36</v>
      </c>
      <c r="C5" s="12">
        <v>20</v>
      </c>
      <c r="D5" s="12">
        <v>21</v>
      </c>
      <c r="E5" s="12"/>
      <c r="F5" s="12">
        <v>30</v>
      </c>
      <c r="I5" s="12" t="s">
        <v>36</v>
      </c>
      <c r="J5" s="12">
        <v>6</v>
      </c>
      <c r="K5" s="12">
        <v>7</v>
      </c>
      <c r="L5" s="12">
        <v>10</v>
      </c>
      <c r="M5" s="12">
        <v>10</v>
      </c>
      <c r="P5" s="12" t="s">
        <v>36</v>
      </c>
      <c r="Q5" s="12">
        <v>25</v>
      </c>
      <c r="R5" s="12">
        <v>26</v>
      </c>
      <c r="S5" s="12"/>
      <c r="T5" s="12">
        <v>33</v>
      </c>
    </row>
    <row r="6" spans="2:26" x14ac:dyDescent="0.3">
      <c r="B6" s="12" t="s">
        <v>37</v>
      </c>
      <c r="C6" s="12">
        <v>12</v>
      </c>
      <c r="D6" s="12"/>
      <c r="E6" s="12"/>
      <c r="F6" s="12">
        <v>22</v>
      </c>
      <c r="I6" s="12" t="s">
        <v>37</v>
      </c>
      <c r="J6" s="12">
        <v>10</v>
      </c>
      <c r="K6" s="12"/>
      <c r="L6" s="12"/>
      <c r="M6" s="12">
        <v>19</v>
      </c>
      <c r="P6" s="12" t="s">
        <v>37</v>
      </c>
      <c r="Q6" s="12">
        <v>21</v>
      </c>
      <c r="R6" s="12"/>
      <c r="S6" s="12"/>
      <c r="T6" s="12">
        <v>27</v>
      </c>
    </row>
    <row r="7" spans="2:26" x14ac:dyDescent="0.3">
      <c r="B7" s="12" t="s">
        <v>38</v>
      </c>
      <c r="C7" s="12">
        <v>16</v>
      </c>
      <c r="D7" s="12"/>
      <c r="E7" s="12">
        <v>20</v>
      </c>
      <c r="F7" s="12">
        <v>20</v>
      </c>
      <c r="I7" s="12" t="s">
        <v>38</v>
      </c>
      <c r="J7" s="12">
        <v>9</v>
      </c>
      <c r="K7" s="12"/>
      <c r="L7" s="12"/>
      <c r="M7" s="12">
        <v>15</v>
      </c>
      <c r="P7" s="12" t="s">
        <v>38</v>
      </c>
      <c r="Q7" s="12">
        <v>13</v>
      </c>
      <c r="R7" s="12"/>
      <c r="S7" s="12"/>
      <c r="T7" s="12">
        <v>22</v>
      </c>
    </row>
    <row r="8" spans="2:26" x14ac:dyDescent="0.3">
      <c r="B8" s="12" t="s">
        <v>39</v>
      </c>
      <c r="C8" s="12">
        <v>36</v>
      </c>
      <c r="D8" s="12">
        <v>37</v>
      </c>
      <c r="E8" s="12"/>
      <c r="F8" s="12">
        <v>45</v>
      </c>
      <c r="I8" s="12" t="s">
        <v>39</v>
      </c>
      <c r="J8" s="12">
        <v>12</v>
      </c>
      <c r="K8" s="12">
        <v>13</v>
      </c>
      <c r="L8" s="12"/>
      <c r="M8" s="12">
        <v>20</v>
      </c>
      <c r="P8" s="12" t="s">
        <v>39</v>
      </c>
      <c r="Q8" s="12">
        <v>13</v>
      </c>
      <c r="R8" s="12"/>
      <c r="S8" s="12"/>
      <c r="T8" s="12">
        <v>23</v>
      </c>
    </row>
    <row r="9" spans="2:26" x14ac:dyDescent="0.3">
      <c r="B9" s="12" t="s">
        <v>40</v>
      </c>
      <c r="C9" s="12">
        <v>11</v>
      </c>
      <c r="D9" s="12"/>
      <c r="E9" s="12"/>
      <c r="F9" s="12">
        <v>16</v>
      </c>
      <c r="I9" s="12" t="s">
        <v>40</v>
      </c>
      <c r="J9" s="12">
        <v>11</v>
      </c>
      <c r="K9" s="12"/>
      <c r="L9" s="12"/>
      <c r="M9" s="12">
        <v>18</v>
      </c>
      <c r="P9" s="12" t="s">
        <v>40</v>
      </c>
      <c r="Q9" s="12">
        <v>19</v>
      </c>
      <c r="R9" s="12">
        <v>20</v>
      </c>
      <c r="S9" s="12">
        <v>24</v>
      </c>
      <c r="T9" s="12">
        <v>26</v>
      </c>
      <c r="X9" s="1" t="s">
        <v>73</v>
      </c>
      <c r="Z9" s="1">
        <v>1566</v>
      </c>
    </row>
    <row r="10" spans="2:26" x14ac:dyDescent="0.3">
      <c r="B10" s="12" t="s">
        <v>41</v>
      </c>
      <c r="C10" s="12">
        <v>20</v>
      </c>
      <c r="D10" s="12"/>
      <c r="E10" s="12"/>
      <c r="F10" s="12">
        <v>28</v>
      </c>
      <c r="I10" s="12" t="s">
        <v>41</v>
      </c>
      <c r="J10" s="12">
        <v>14</v>
      </c>
      <c r="K10" s="12"/>
      <c r="L10" s="12"/>
      <c r="M10" s="12">
        <v>20</v>
      </c>
      <c r="P10" s="12" t="s">
        <v>41</v>
      </c>
      <c r="Q10" s="12">
        <v>13</v>
      </c>
      <c r="R10" s="12"/>
      <c r="S10" s="12"/>
      <c r="T10" s="12">
        <v>23</v>
      </c>
      <c r="X10" s="1" t="s">
        <v>74</v>
      </c>
      <c r="Z10" s="1">
        <v>1999</v>
      </c>
    </row>
    <row r="11" spans="2:26" x14ac:dyDescent="0.3">
      <c r="B11" s="12" t="s">
        <v>42</v>
      </c>
      <c r="C11" s="12">
        <v>17</v>
      </c>
      <c r="D11" s="12">
        <v>17</v>
      </c>
      <c r="E11" s="12">
        <v>22</v>
      </c>
      <c r="F11" s="12">
        <v>23</v>
      </c>
      <c r="I11" s="12" t="s">
        <v>42</v>
      </c>
      <c r="J11" s="12">
        <v>10</v>
      </c>
      <c r="K11" s="12">
        <v>11</v>
      </c>
      <c r="L11" s="12">
        <v>14</v>
      </c>
      <c r="M11" s="12">
        <v>16</v>
      </c>
      <c r="P11" s="12" t="s">
        <v>42</v>
      </c>
      <c r="Q11" s="12">
        <v>16</v>
      </c>
      <c r="R11" s="12"/>
      <c r="S11" s="12"/>
      <c r="T11" s="12">
        <v>0</v>
      </c>
      <c r="X11" s="1" t="s">
        <v>75</v>
      </c>
      <c r="Z11" s="1" t="s">
        <v>76</v>
      </c>
    </row>
    <row r="12" spans="2:26" x14ac:dyDescent="0.3">
      <c r="B12" s="12" t="s">
        <v>43</v>
      </c>
      <c r="C12" s="12">
        <v>14</v>
      </c>
      <c r="D12" s="12"/>
      <c r="E12" s="12"/>
      <c r="F12" s="12">
        <v>20</v>
      </c>
      <c r="I12" s="12" t="s">
        <v>43</v>
      </c>
      <c r="J12" s="12">
        <v>8</v>
      </c>
      <c r="K12" s="12"/>
      <c r="L12" s="12"/>
      <c r="M12" s="12">
        <v>15</v>
      </c>
      <c r="P12" s="12" t="s">
        <v>43</v>
      </c>
      <c r="Q12" s="12">
        <v>16</v>
      </c>
      <c r="R12" s="12"/>
      <c r="S12" s="12"/>
      <c r="T12" s="12">
        <v>25</v>
      </c>
      <c r="X12" s="1" t="s">
        <v>77</v>
      </c>
      <c r="Z12" s="1">
        <v>433</v>
      </c>
    </row>
    <row r="13" spans="2:26" x14ac:dyDescent="0.3">
      <c r="B13" s="12" t="s">
        <v>44</v>
      </c>
      <c r="C13" s="12">
        <v>26</v>
      </c>
      <c r="D13" s="12"/>
      <c r="E13" s="12">
        <v>30</v>
      </c>
      <c r="F13" s="12">
        <v>33</v>
      </c>
      <c r="I13" s="12" t="s">
        <v>44</v>
      </c>
      <c r="J13" s="12">
        <v>12</v>
      </c>
      <c r="K13" s="12">
        <v>0</v>
      </c>
      <c r="L13" s="12"/>
      <c r="M13" s="12">
        <v>0</v>
      </c>
      <c r="P13" s="12" t="s">
        <v>44</v>
      </c>
      <c r="Q13" s="12">
        <v>12</v>
      </c>
      <c r="R13" s="12"/>
      <c r="S13" s="12">
        <v>19</v>
      </c>
      <c r="T13" s="12">
        <v>22</v>
      </c>
    </row>
    <row r="14" spans="2:26" x14ac:dyDescent="0.3">
      <c r="B14" s="12" t="s">
        <v>45</v>
      </c>
      <c r="C14" s="12">
        <v>18</v>
      </c>
      <c r="D14" s="12">
        <v>0</v>
      </c>
      <c r="E14" s="12"/>
      <c r="F14" s="12">
        <v>0</v>
      </c>
      <c r="I14" s="12" t="s">
        <v>45</v>
      </c>
      <c r="J14" s="12">
        <v>15</v>
      </c>
      <c r="K14" s="12">
        <v>16</v>
      </c>
      <c r="L14" s="12">
        <v>19</v>
      </c>
      <c r="M14" s="12">
        <v>22</v>
      </c>
      <c r="P14" s="12" t="s">
        <v>45</v>
      </c>
      <c r="Q14" s="12">
        <v>28</v>
      </c>
      <c r="R14" s="12">
        <v>29</v>
      </c>
      <c r="S14" s="12">
        <v>32</v>
      </c>
      <c r="T14" s="12">
        <v>37</v>
      </c>
    </row>
    <row r="15" spans="2:26" x14ac:dyDescent="0.3">
      <c r="B15" s="2"/>
      <c r="C15" s="2"/>
      <c r="D15" s="2"/>
      <c r="E15" s="2"/>
      <c r="F15" s="2"/>
      <c r="I15" s="2"/>
      <c r="J15" s="2"/>
      <c r="K15" s="2"/>
      <c r="L15" s="2"/>
      <c r="M15" s="2"/>
      <c r="P15" s="2"/>
      <c r="Q15" s="2"/>
      <c r="R15" s="2"/>
      <c r="S15" s="2"/>
      <c r="T15" s="2"/>
      <c r="X15" s="1" t="s">
        <v>78</v>
      </c>
      <c r="Y15" s="1" t="s">
        <v>79</v>
      </c>
      <c r="Z15" s="1" t="s">
        <v>80</v>
      </c>
    </row>
    <row r="16" spans="2:26" x14ac:dyDescent="0.3">
      <c r="B16" s="24" t="s">
        <v>46</v>
      </c>
      <c r="C16" s="24">
        <v>14</v>
      </c>
      <c r="D16" s="24">
        <v>14</v>
      </c>
      <c r="E16" s="24"/>
      <c r="F16" s="24">
        <v>20</v>
      </c>
      <c r="I16" s="24" t="s">
        <v>69</v>
      </c>
      <c r="J16" s="24">
        <v>22</v>
      </c>
      <c r="K16" s="24">
        <v>22</v>
      </c>
      <c r="L16" s="24"/>
      <c r="M16" s="24">
        <v>29</v>
      </c>
      <c r="P16" s="24" t="s">
        <v>46</v>
      </c>
      <c r="Q16" s="24">
        <v>5</v>
      </c>
      <c r="R16" s="24">
        <v>6</v>
      </c>
      <c r="S16" s="24">
        <v>8</v>
      </c>
      <c r="T16" s="24">
        <v>10</v>
      </c>
      <c r="X16" s="1" t="s">
        <v>81</v>
      </c>
      <c r="Y16" s="1" t="s">
        <v>82</v>
      </c>
      <c r="Z16" s="1" t="s">
        <v>83</v>
      </c>
    </row>
    <row r="17" spans="2:20" x14ac:dyDescent="0.3">
      <c r="B17" s="24" t="s">
        <v>47</v>
      </c>
      <c r="C17" s="24">
        <v>9</v>
      </c>
      <c r="D17" s="24"/>
      <c r="E17" s="24">
        <v>14</v>
      </c>
      <c r="F17" s="24">
        <v>18</v>
      </c>
      <c r="I17" s="24" t="s">
        <v>47</v>
      </c>
      <c r="J17" s="24">
        <v>35</v>
      </c>
      <c r="K17" s="24"/>
      <c r="L17" s="24"/>
      <c r="M17" s="24">
        <v>42</v>
      </c>
      <c r="P17" s="24" t="s">
        <v>47</v>
      </c>
      <c r="Q17" s="24">
        <v>31</v>
      </c>
      <c r="R17" s="24"/>
      <c r="S17" s="24"/>
      <c r="T17" s="24">
        <v>0</v>
      </c>
    </row>
    <row r="18" spans="2:20" x14ac:dyDescent="0.3">
      <c r="B18" s="24" t="s">
        <v>48</v>
      </c>
      <c r="C18" s="24">
        <v>24</v>
      </c>
      <c r="D18" s="24"/>
      <c r="E18" s="24"/>
      <c r="F18" s="24">
        <v>34</v>
      </c>
      <c r="I18" s="24" t="s">
        <v>48</v>
      </c>
      <c r="J18" s="24">
        <v>38</v>
      </c>
      <c r="K18" s="24"/>
      <c r="L18" s="24">
        <v>44</v>
      </c>
      <c r="M18" s="24">
        <v>46</v>
      </c>
      <c r="P18" s="24" t="s">
        <v>48</v>
      </c>
      <c r="Q18" s="24">
        <v>13</v>
      </c>
      <c r="R18" s="24"/>
      <c r="S18" s="24"/>
      <c r="T18" s="24">
        <v>19</v>
      </c>
    </row>
    <row r="19" spans="2:20" x14ac:dyDescent="0.3">
      <c r="B19" s="24" t="s">
        <v>49</v>
      </c>
      <c r="C19" s="24">
        <v>29</v>
      </c>
      <c r="D19" s="24">
        <v>30</v>
      </c>
      <c r="E19" s="24">
        <v>34</v>
      </c>
      <c r="F19" s="24">
        <v>35</v>
      </c>
      <c r="I19" s="24" t="s">
        <v>49</v>
      </c>
      <c r="J19" s="24">
        <v>13</v>
      </c>
      <c r="K19" s="24">
        <v>13</v>
      </c>
      <c r="L19" s="24"/>
      <c r="M19" s="24">
        <v>19</v>
      </c>
      <c r="P19" s="24" t="s">
        <v>49</v>
      </c>
      <c r="Q19" s="24">
        <v>13</v>
      </c>
      <c r="R19" s="24">
        <v>14</v>
      </c>
      <c r="S19" s="24"/>
      <c r="T19" s="24">
        <v>22</v>
      </c>
    </row>
    <row r="20" spans="2:20" x14ac:dyDescent="0.3">
      <c r="B20" s="24" t="s">
        <v>50</v>
      </c>
      <c r="C20" s="24">
        <v>13</v>
      </c>
      <c r="D20" s="24"/>
      <c r="E20" s="24"/>
      <c r="F20" s="24">
        <v>17</v>
      </c>
      <c r="I20" s="24" t="s">
        <v>50</v>
      </c>
      <c r="J20" s="24">
        <v>15</v>
      </c>
      <c r="K20" s="24"/>
      <c r="L20" s="24"/>
      <c r="M20" s="24">
        <v>21</v>
      </c>
      <c r="P20" s="24" t="s">
        <v>50</v>
      </c>
      <c r="Q20" s="24">
        <v>33</v>
      </c>
      <c r="R20" s="24"/>
      <c r="S20" s="24"/>
      <c r="T20" s="24">
        <v>44</v>
      </c>
    </row>
    <row r="21" spans="2:20" x14ac:dyDescent="0.3">
      <c r="B21" s="24" t="s">
        <v>51</v>
      </c>
      <c r="C21" s="24">
        <v>22</v>
      </c>
      <c r="D21" s="24"/>
      <c r="E21" s="24"/>
      <c r="F21" s="24">
        <v>32</v>
      </c>
      <c r="I21" s="24" t="s">
        <v>51</v>
      </c>
      <c r="J21" s="24">
        <v>24</v>
      </c>
      <c r="K21" s="24"/>
      <c r="L21" s="24"/>
      <c r="M21" s="24">
        <v>31</v>
      </c>
      <c r="P21" s="24" t="s">
        <v>51</v>
      </c>
      <c r="Q21" s="24">
        <v>31</v>
      </c>
      <c r="R21" s="24"/>
      <c r="S21" s="24">
        <v>36</v>
      </c>
      <c r="T21" s="24">
        <v>39</v>
      </c>
    </row>
    <row r="22" spans="2:20" x14ac:dyDescent="0.3">
      <c r="B22" s="24" t="s">
        <v>52</v>
      </c>
      <c r="C22" s="24">
        <v>21</v>
      </c>
      <c r="D22" s="24">
        <v>22</v>
      </c>
      <c r="E22" s="24"/>
      <c r="F22" s="24">
        <v>28</v>
      </c>
      <c r="I22" s="24" t="s">
        <v>52</v>
      </c>
      <c r="J22" s="24">
        <v>22</v>
      </c>
      <c r="K22" s="24">
        <v>23</v>
      </c>
      <c r="L22" s="24"/>
      <c r="M22" s="24">
        <v>31</v>
      </c>
      <c r="P22" s="24" t="s">
        <v>52</v>
      </c>
      <c r="Q22" s="24">
        <v>34</v>
      </c>
      <c r="R22" s="24"/>
      <c r="S22" s="24"/>
      <c r="T22" s="24">
        <v>43</v>
      </c>
    </row>
    <row r="23" spans="2:20" x14ac:dyDescent="0.3">
      <c r="B23" s="24" t="s">
        <v>53</v>
      </c>
      <c r="C23" s="24">
        <v>13</v>
      </c>
      <c r="D23" s="24"/>
      <c r="E23" s="24"/>
      <c r="F23" s="24">
        <v>22</v>
      </c>
      <c r="I23" s="24" t="s">
        <v>53</v>
      </c>
      <c r="J23" s="24">
        <v>34</v>
      </c>
      <c r="K23" s="24"/>
      <c r="L23" s="24">
        <v>39</v>
      </c>
      <c r="M23" s="24">
        <v>41</v>
      </c>
      <c r="P23" s="24" t="s">
        <v>53</v>
      </c>
      <c r="Q23" s="24">
        <v>21</v>
      </c>
      <c r="R23" s="24">
        <v>23</v>
      </c>
      <c r="S23" s="24"/>
      <c r="T23" s="24">
        <v>31</v>
      </c>
    </row>
    <row r="24" spans="2:20" x14ac:dyDescent="0.3">
      <c r="B24" s="24" t="s">
        <v>54</v>
      </c>
      <c r="C24" s="24">
        <v>15</v>
      </c>
      <c r="D24" s="24">
        <v>16</v>
      </c>
      <c r="E24" s="24">
        <v>18</v>
      </c>
      <c r="F24" s="24">
        <v>22</v>
      </c>
      <c r="I24" s="24" t="s">
        <v>54</v>
      </c>
      <c r="J24" s="24">
        <v>14</v>
      </c>
      <c r="K24" s="24"/>
      <c r="L24" s="24"/>
      <c r="M24" s="24">
        <v>24</v>
      </c>
      <c r="P24" s="24" t="s">
        <v>54</v>
      </c>
      <c r="Q24" s="24">
        <v>16</v>
      </c>
      <c r="R24" s="24"/>
      <c r="S24" s="24"/>
      <c r="T24" s="24">
        <v>24</v>
      </c>
    </row>
    <row r="25" spans="2:20" x14ac:dyDescent="0.3">
      <c r="B25" s="24" t="s">
        <v>55</v>
      </c>
      <c r="C25" s="24">
        <v>9</v>
      </c>
      <c r="D25" s="24"/>
      <c r="E25" s="24"/>
      <c r="F25" s="24">
        <v>0</v>
      </c>
      <c r="I25" s="24" t="s">
        <v>55</v>
      </c>
      <c r="J25" s="24">
        <v>30</v>
      </c>
      <c r="K25" s="24"/>
      <c r="L25" s="24">
        <v>35</v>
      </c>
      <c r="M25" s="24">
        <v>37</v>
      </c>
      <c r="P25" s="24" t="s">
        <v>55</v>
      </c>
      <c r="Q25" s="24">
        <v>5</v>
      </c>
      <c r="R25" s="24">
        <v>6</v>
      </c>
      <c r="S25" s="24">
        <v>7</v>
      </c>
      <c r="T25" s="24">
        <v>10</v>
      </c>
    </row>
    <row r="26" spans="2:20" x14ac:dyDescent="0.3">
      <c r="B26" s="2"/>
      <c r="C26" s="2"/>
      <c r="D26" s="2"/>
      <c r="E26" s="2"/>
      <c r="F26" s="2"/>
      <c r="I26" s="2"/>
      <c r="J26" s="2"/>
      <c r="K26" s="2"/>
      <c r="L26" s="2"/>
      <c r="M26" s="2"/>
      <c r="P26" s="2"/>
      <c r="Q26" s="2"/>
      <c r="R26" s="2"/>
      <c r="S26" s="2"/>
      <c r="T26" s="2"/>
    </row>
    <row r="27" spans="2:20" x14ac:dyDescent="0.3">
      <c r="B27" s="25" t="s">
        <v>56</v>
      </c>
      <c r="C27" s="25">
        <v>24</v>
      </c>
      <c r="D27" s="25">
        <v>25</v>
      </c>
      <c r="E27" s="25">
        <v>29</v>
      </c>
      <c r="F27" s="25">
        <v>32</v>
      </c>
      <c r="I27" s="25" t="s">
        <v>56</v>
      </c>
      <c r="J27" s="25">
        <v>23</v>
      </c>
      <c r="K27" s="25">
        <v>23</v>
      </c>
      <c r="L27" s="25"/>
      <c r="M27" s="25">
        <v>31</v>
      </c>
      <c r="P27" s="25" t="s">
        <v>56</v>
      </c>
      <c r="Q27" s="25">
        <v>25</v>
      </c>
      <c r="R27" s="25">
        <v>26</v>
      </c>
      <c r="S27" s="25">
        <v>29</v>
      </c>
      <c r="T27" s="25">
        <v>32</v>
      </c>
    </row>
    <row r="28" spans="2:20" x14ac:dyDescent="0.3">
      <c r="B28" s="25" t="s">
        <v>57</v>
      </c>
      <c r="C28" s="25">
        <v>16</v>
      </c>
      <c r="D28" s="25"/>
      <c r="E28" s="25"/>
      <c r="F28" s="25">
        <v>26</v>
      </c>
      <c r="I28" s="25" t="s">
        <v>57</v>
      </c>
      <c r="J28" s="25">
        <v>35</v>
      </c>
      <c r="K28" s="25"/>
      <c r="L28" s="25">
        <v>42</v>
      </c>
      <c r="M28" s="25">
        <v>46</v>
      </c>
      <c r="P28" s="25" t="s">
        <v>57</v>
      </c>
      <c r="Q28" s="25">
        <v>5</v>
      </c>
      <c r="R28" s="25"/>
      <c r="S28" s="25"/>
      <c r="T28" s="25">
        <v>0</v>
      </c>
    </row>
    <row r="29" spans="2:20" x14ac:dyDescent="0.3">
      <c r="B29" s="25" t="s">
        <v>58</v>
      </c>
      <c r="C29" s="25">
        <v>24</v>
      </c>
      <c r="D29" s="25"/>
      <c r="E29" s="25"/>
      <c r="F29" s="25">
        <v>29</v>
      </c>
      <c r="I29" s="25" t="s">
        <v>58</v>
      </c>
      <c r="J29" s="25">
        <v>14</v>
      </c>
      <c r="K29" s="25"/>
      <c r="L29" s="25"/>
      <c r="M29" s="25">
        <v>21</v>
      </c>
      <c r="P29" s="25" t="s">
        <v>58</v>
      </c>
      <c r="Q29" s="25">
        <v>16</v>
      </c>
      <c r="R29" s="25"/>
      <c r="S29" s="25"/>
      <c r="T29" s="25">
        <v>0</v>
      </c>
    </row>
    <row r="30" spans="2:20" x14ac:dyDescent="0.3">
      <c r="B30" s="25" t="s">
        <v>59</v>
      </c>
      <c r="C30" s="25">
        <v>23</v>
      </c>
      <c r="D30" s="25">
        <v>23</v>
      </c>
      <c r="E30" s="25"/>
      <c r="F30" s="25">
        <v>31</v>
      </c>
      <c r="I30" s="25" t="s">
        <v>59</v>
      </c>
      <c r="J30" s="25">
        <v>12</v>
      </c>
      <c r="K30" s="25">
        <v>0</v>
      </c>
      <c r="L30" s="25"/>
      <c r="M30" s="25">
        <v>0</v>
      </c>
      <c r="P30" s="25" t="s">
        <v>59</v>
      </c>
      <c r="Q30" s="25">
        <v>10</v>
      </c>
      <c r="R30" s="25">
        <v>11</v>
      </c>
      <c r="S30" s="25"/>
      <c r="T30" s="25">
        <v>17</v>
      </c>
    </row>
    <row r="31" spans="2:20" x14ac:dyDescent="0.3">
      <c r="B31" s="25" t="s">
        <v>60</v>
      </c>
      <c r="C31" s="25">
        <v>8</v>
      </c>
      <c r="D31" s="25"/>
      <c r="E31" s="25">
        <v>12</v>
      </c>
      <c r="F31" s="25">
        <v>12</v>
      </c>
      <c r="I31" s="25" t="s">
        <v>60</v>
      </c>
      <c r="J31" s="25">
        <v>31</v>
      </c>
      <c r="K31" s="25"/>
      <c r="L31" s="25"/>
      <c r="M31" s="25">
        <v>42</v>
      </c>
      <c r="P31" s="25" t="s">
        <v>60</v>
      </c>
      <c r="Q31" s="25">
        <v>24</v>
      </c>
      <c r="R31" s="25"/>
      <c r="S31" s="25">
        <v>0</v>
      </c>
      <c r="T31" s="25">
        <v>0</v>
      </c>
    </row>
    <row r="32" spans="2:20" x14ac:dyDescent="0.3">
      <c r="B32" s="25" t="s">
        <v>61</v>
      </c>
      <c r="C32" s="25">
        <v>12</v>
      </c>
      <c r="D32" s="25"/>
      <c r="E32" s="25"/>
      <c r="F32" s="25">
        <v>21</v>
      </c>
      <c r="I32" s="25" t="s">
        <v>61</v>
      </c>
      <c r="J32" s="25">
        <v>10</v>
      </c>
      <c r="K32" s="25"/>
      <c r="L32" s="25"/>
      <c r="M32" s="25">
        <v>18</v>
      </c>
      <c r="P32" s="25" t="s">
        <v>61</v>
      </c>
      <c r="Q32" s="25">
        <v>9</v>
      </c>
      <c r="R32" s="25"/>
      <c r="S32" s="25"/>
      <c r="T32" s="25">
        <v>13</v>
      </c>
    </row>
    <row r="33" spans="2:20" x14ac:dyDescent="0.3">
      <c r="B33" s="25" t="s">
        <v>62</v>
      </c>
      <c r="C33" s="25">
        <v>18</v>
      </c>
      <c r="D33" s="25">
        <v>19</v>
      </c>
      <c r="E33" s="25"/>
      <c r="F33" s="25">
        <v>24</v>
      </c>
      <c r="I33" s="25" t="s">
        <v>62</v>
      </c>
      <c r="J33" s="25">
        <v>17</v>
      </c>
      <c r="K33" s="25">
        <v>18</v>
      </c>
      <c r="L33" s="25">
        <v>20</v>
      </c>
      <c r="M33" s="25">
        <v>23</v>
      </c>
      <c r="P33" s="25" t="s">
        <v>62</v>
      </c>
      <c r="Q33" s="25">
        <v>15</v>
      </c>
      <c r="R33" s="25">
        <v>16</v>
      </c>
      <c r="S33" s="25"/>
      <c r="T33" s="25">
        <v>22</v>
      </c>
    </row>
    <row r="34" spans="2:20" x14ac:dyDescent="0.3">
      <c r="B34" s="25" t="s">
        <v>63</v>
      </c>
      <c r="C34" s="25">
        <v>10</v>
      </c>
      <c r="D34" s="25"/>
      <c r="E34" s="25"/>
      <c r="F34" s="25">
        <v>16</v>
      </c>
      <c r="I34" s="25" t="s">
        <v>63</v>
      </c>
      <c r="J34" s="25">
        <v>10</v>
      </c>
      <c r="K34" s="25"/>
      <c r="L34" s="25"/>
      <c r="M34" s="25">
        <v>0</v>
      </c>
      <c r="P34" s="25" t="s">
        <v>63</v>
      </c>
      <c r="Q34" s="25">
        <v>16</v>
      </c>
      <c r="R34" s="25"/>
      <c r="S34" s="25"/>
      <c r="T34" s="25">
        <v>24</v>
      </c>
    </row>
    <row r="35" spans="2:20" x14ac:dyDescent="0.3">
      <c r="B35" s="25" t="s">
        <v>64</v>
      </c>
      <c r="C35" s="25">
        <v>7</v>
      </c>
      <c r="D35" s="25"/>
      <c r="E35" s="25">
        <v>0</v>
      </c>
      <c r="F35" s="25">
        <v>0</v>
      </c>
      <c r="I35" s="25" t="s">
        <v>64</v>
      </c>
      <c r="J35" s="25">
        <v>28</v>
      </c>
      <c r="K35" s="25"/>
      <c r="L35" s="25">
        <v>34</v>
      </c>
      <c r="M35" s="25">
        <v>35</v>
      </c>
      <c r="P35" s="25" t="s">
        <v>64</v>
      </c>
      <c r="Q35" s="25">
        <v>5</v>
      </c>
      <c r="R35" s="25"/>
      <c r="S35" s="25"/>
      <c r="T35" s="25">
        <v>10</v>
      </c>
    </row>
    <row r="36" spans="2:20" x14ac:dyDescent="0.3">
      <c r="B36" s="25" t="s">
        <v>65</v>
      </c>
      <c r="C36" s="25">
        <v>8</v>
      </c>
      <c r="D36" s="25">
        <v>9</v>
      </c>
      <c r="E36" s="25"/>
      <c r="F36" s="25">
        <v>15</v>
      </c>
      <c r="I36" s="25" t="s">
        <v>65</v>
      </c>
      <c r="J36" s="25">
        <v>10</v>
      </c>
      <c r="K36" s="25">
        <v>11</v>
      </c>
      <c r="L36" s="25"/>
      <c r="M36" s="25">
        <v>18</v>
      </c>
      <c r="P36" s="25" t="s">
        <v>65</v>
      </c>
      <c r="Q36" s="25">
        <v>10</v>
      </c>
      <c r="R36" s="25">
        <v>11</v>
      </c>
      <c r="S36" s="25">
        <v>17</v>
      </c>
      <c r="T36" s="25">
        <v>20</v>
      </c>
    </row>
    <row r="37" spans="2:20" x14ac:dyDescent="0.3">
      <c r="B37" s="6" t="s">
        <v>8</v>
      </c>
      <c r="C37" s="7">
        <f>AVERAGE(C5:C36)</f>
        <v>16.966666666666665</v>
      </c>
      <c r="D37" s="2"/>
      <c r="E37" s="2"/>
      <c r="F37" s="7">
        <f>AVERAGE(F5:F36)</f>
        <v>22.366666666666667</v>
      </c>
      <c r="I37" s="6" t="s">
        <v>70</v>
      </c>
      <c r="J37" s="7">
        <f>AVERAGE(J5:J36)</f>
        <v>18.133333333333333</v>
      </c>
      <c r="K37" s="2"/>
      <c r="L37" s="2"/>
      <c r="M37" s="7">
        <f>AVERAGE(M5:M36)</f>
        <v>23.666666666666668</v>
      </c>
      <c r="P37" s="6" t="s">
        <v>70</v>
      </c>
      <c r="Q37" s="6">
        <f>AVERAGE(Q5:Q36)</f>
        <v>17.100000000000001</v>
      </c>
      <c r="R37" s="2"/>
      <c r="S37" s="2"/>
      <c r="T37" s="6">
        <f>AVERAGE(T5:T36)</f>
        <v>20.6</v>
      </c>
    </row>
    <row r="38" spans="2:20" x14ac:dyDescent="0.3">
      <c r="B38" s="6" t="s">
        <v>9</v>
      </c>
      <c r="C38" s="7">
        <f>_xlfn.STDEV.S(C5:C36)</f>
        <v>6.9752435791523268</v>
      </c>
      <c r="D38" s="2"/>
      <c r="E38" s="2"/>
      <c r="F38" s="7">
        <f>_xlfn.STDEV.S(F5:F36)</f>
        <v>10.460049888894456</v>
      </c>
      <c r="I38" s="6" t="s">
        <v>9</v>
      </c>
      <c r="J38" s="7">
        <f>_xlfn.STDEV.S(J5:J36)</f>
        <v>9.5293858879939837</v>
      </c>
      <c r="K38" s="2"/>
      <c r="L38" s="2"/>
      <c r="M38" s="7">
        <f>_xlfn.STDEV.S(M5:M36)</f>
        <v>12.766695177183736</v>
      </c>
      <c r="P38" s="6" t="s">
        <v>9</v>
      </c>
      <c r="Q38" s="7">
        <f>_xlfn.STDEV.S(Q5:Q36)</f>
        <v>8.555498332893178</v>
      </c>
      <c r="R38" s="2"/>
      <c r="S38" s="2"/>
      <c r="T38" s="7">
        <f>_xlfn.STDEV.S(T5:T36)</f>
        <v>12.748495516375041</v>
      </c>
    </row>
    <row r="39" spans="2:20" x14ac:dyDescent="0.3">
      <c r="B39" s="6" t="s">
        <v>66</v>
      </c>
      <c r="C39" s="6">
        <f>SUM(C5:C36)</f>
        <v>509</v>
      </c>
      <c r="D39" s="2"/>
      <c r="E39" s="2"/>
      <c r="F39" s="6">
        <f>SUM(F5:F36)</f>
        <v>671</v>
      </c>
      <c r="I39" s="6" t="s">
        <v>66</v>
      </c>
      <c r="J39" s="6">
        <f>SUM(J5:J36)</f>
        <v>544</v>
      </c>
      <c r="K39" s="2"/>
      <c r="L39" s="2"/>
      <c r="M39" s="6">
        <f>SUM(M5:M36)</f>
        <v>710</v>
      </c>
      <c r="P39" s="6" t="s">
        <v>72</v>
      </c>
      <c r="Q39" s="6">
        <f>SUM(Q5:Q36)</f>
        <v>513</v>
      </c>
      <c r="R39" s="2"/>
      <c r="S39" s="2"/>
      <c r="T39" s="6">
        <f>SUM(T5:T36)</f>
        <v>618</v>
      </c>
    </row>
    <row r="40" spans="2:20" x14ac:dyDescent="0.3">
      <c r="B40" s="2"/>
      <c r="C40" s="2"/>
      <c r="D40" s="2"/>
      <c r="E40" s="2"/>
      <c r="F40" s="2"/>
      <c r="I40" s="2"/>
      <c r="J40" s="2"/>
      <c r="K40" s="2"/>
      <c r="L40" s="2"/>
      <c r="M40" s="2"/>
      <c r="P40" s="2"/>
      <c r="Q40" s="2"/>
      <c r="R40" s="2"/>
      <c r="S40" s="2"/>
      <c r="T40" s="2"/>
    </row>
    <row r="41" spans="2:20" x14ac:dyDescent="0.3">
      <c r="B41" s="2"/>
      <c r="C41" s="2"/>
      <c r="D41" s="2"/>
      <c r="E41" s="2"/>
      <c r="F41" s="2"/>
      <c r="I41" s="2"/>
      <c r="J41" s="2"/>
      <c r="K41" s="2"/>
      <c r="L41" s="2"/>
      <c r="M41" s="2"/>
      <c r="P41" s="2"/>
      <c r="Q41" s="2"/>
      <c r="R41" s="2"/>
      <c r="S41" s="2"/>
      <c r="T41" s="2"/>
    </row>
    <row r="45" spans="2:20" x14ac:dyDescent="0.3">
      <c r="B45" s="1" t="s">
        <v>78</v>
      </c>
      <c r="C45" s="1" t="s">
        <v>79</v>
      </c>
      <c r="D45" s="1" t="s">
        <v>80</v>
      </c>
    </row>
    <row r="46" spans="2:20" x14ac:dyDescent="0.3">
      <c r="B46" s="1" t="s">
        <v>81</v>
      </c>
      <c r="C46" s="1" t="s">
        <v>82</v>
      </c>
      <c r="D46" s="1" t="s">
        <v>83</v>
      </c>
    </row>
    <row r="49" spans="2:16" x14ac:dyDescent="0.3">
      <c r="C49" s="1" t="s">
        <v>157</v>
      </c>
      <c r="N49" s="1" t="s">
        <v>73</v>
      </c>
      <c r="P49" s="1">
        <v>1566</v>
      </c>
    </row>
    <row r="50" spans="2:16" x14ac:dyDescent="0.3">
      <c r="C50" s="2" t="s">
        <v>147</v>
      </c>
      <c r="D50" s="2" t="s">
        <v>151</v>
      </c>
      <c r="E50" s="2" t="s">
        <v>152</v>
      </c>
      <c r="N50" s="1" t="s">
        <v>74</v>
      </c>
      <c r="P50" s="1">
        <v>1999</v>
      </c>
    </row>
    <row r="51" spans="2:16" x14ac:dyDescent="0.3">
      <c r="C51" s="2" t="s">
        <v>148</v>
      </c>
      <c r="D51" s="2">
        <v>509</v>
      </c>
      <c r="E51" s="2">
        <v>671</v>
      </c>
      <c r="N51" s="1" t="s">
        <v>75</v>
      </c>
      <c r="P51" s="1" t="s">
        <v>76</v>
      </c>
    </row>
    <row r="52" spans="2:16" x14ac:dyDescent="0.3">
      <c r="C52" s="2" t="s">
        <v>149</v>
      </c>
      <c r="D52" s="2">
        <v>544</v>
      </c>
      <c r="E52" s="2">
        <v>710</v>
      </c>
      <c r="N52" s="1" t="s">
        <v>77</v>
      </c>
      <c r="P52" s="1">
        <v>433</v>
      </c>
    </row>
    <row r="53" spans="2:16" x14ac:dyDescent="0.3">
      <c r="C53" s="2" t="s">
        <v>150</v>
      </c>
      <c r="D53" s="2">
        <v>513</v>
      </c>
      <c r="E53" s="2">
        <v>618</v>
      </c>
    </row>
    <row r="54" spans="2:16" x14ac:dyDescent="0.3">
      <c r="C54" s="2"/>
      <c r="D54" s="2"/>
      <c r="E54" s="2"/>
    </row>
    <row r="55" spans="2:16" x14ac:dyDescent="0.3">
      <c r="C55" s="2"/>
      <c r="D55" s="2"/>
      <c r="E55" s="2"/>
    </row>
    <row r="58" spans="2:16" ht="25.2" customHeight="1" x14ac:dyDescent="0.3"/>
    <row r="59" spans="2:16" ht="30.6" customHeight="1" x14ac:dyDescent="0.3"/>
    <row r="63" spans="2:16" x14ac:dyDescent="0.3">
      <c r="B63" s="2" t="s">
        <v>135</v>
      </c>
      <c r="C63" s="2" t="s">
        <v>136</v>
      </c>
      <c r="D63" s="2" t="s">
        <v>166</v>
      </c>
      <c r="E63" s="2" t="s">
        <v>165</v>
      </c>
      <c r="F63" s="2" t="s">
        <v>167</v>
      </c>
      <c r="G63" s="2" t="s">
        <v>168</v>
      </c>
      <c r="H63" s="2" t="s">
        <v>169</v>
      </c>
    </row>
    <row r="64" spans="2:16" x14ac:dyDescent="0.3">
      <c r="B64" s="2" t="s">
        <v>148</v>
      </c>
      <c r="C64" s="2">
        <v>30</v>
      </c>
      <c r="D64" s="2">
        <v>509</v>
      </c>
      <c r="E64" s="2">
        <v>671</v>
      </c>
      <c r="F64" s="2">
        <v>162</v>
      </c>
      <c r="G64" s="2">
        <v>31.83</v>
      </c>
      <c r="H64" s="2">
        <v>90</v>
      </c>
    </row>
    <row r="65" spans="2:9" x14ac:dyDescent="0.3">
      <c r="B65" s="2" t="s">
        <v>149</v>
      </c>
      <c r="C65" s="2">
        <v>30</v>
      </c>
      <c r="D65" s="2">
        <v>544</v>
      </c>
      <c r="E65" s="2">
        <v>710</v>
      </c>
      <c r="F65" s="2">
        <v>166</v>
      </c>
      <c r="G65" s="2">
        <v>30.51</v>
      </c>
      <c r="H65" s="2">
        <v>90</v>
      </c>
    </row>
    <row r="66" spans="2:9" x14ac:dyDescent="0.3">
      <c r="B66" s="2" t="s">
        <v>150</v>
      </c>
      <c r="C66" s="2">
        <v>30</v>
      </c>
      <c r="D66" s="2">
        <v>513</v>
      </c>
      <c r="E66" s="2">
        <v>618</v>
      </c>
      <c r="F66" s="2">
        <v>105</v>
      </c>
      <c r="G66" s="2">
        <v>20.47</v>
      </c>
      <c r="H66" s="2">
        <v>83.33</v>
      </c>
    </row>
    <row r="67" spans="2:9" x14ac:dyDescent="0.3">
      <c r="B67" s="2" t="s">
        <v>137</v>
      </c>
      <c r="C67" s="2">
        <v>90</v>
      </c>
      <c r="D67" s="2">
        <v>1566</v>
      </c>
      <c r="E67" s="2">
        <v>1999</v>
      </c>
      <c r="F67" s="2">
        <v>433</v>
      </c>
      <c r="G67" s="2">
        <v>27.65</v>
      </c>
      <c r="H67" s="2">
        <v>87.78</v>
      </c>
    </row>
    <row r="70" spans="2:9" x14ac:dyDescent="0.3">
      <c r="B70" s="2" t="s">
        <v>176</v>
      </c>
      <c r="C70" s="2" t="s">
        <v>177</v>
      </c>
      <c r="D70" s="2" t="s">
        <v>178</v>
      </c>
      <c r="E70" s="2" t="s">
        <v>179</v>
      </c>
    </row>
    <row r="71" spans="2:9" x14ac:dyDescent="0.3">
      <c r="B71" s="2">
        <v>1</v>
      </c>
      <c r="C71" s="2" t="s">
        <v>180</v>
      </c>
      <c r="D71" s="2">
        <v>22.37</v>
      </c>
      <c r="E71" s="2">
        <v>5.4</v>
      </c>
      <c r="G71" s="2"/>
      <c r="H71" s="1" t="s">
        <v>183</v>
      </c>
      <c r="I71" s="2"/>
    </row>
    <row r="72" spans="2:9" x14ac:dyDescent="0.3">
      <c r="B72" s="2">
        <v>2</v>
      </c>
      <c r="C72" s="2">
        <v>18.13</v>
      </c>
      <c r="D72" s="2">
        <v>23.67</v>
      </c>
      <c r="E72" s="2">
        <v>5.54</v>
      </c>
      <c r="G72" s="2" t="s">
        <v>148</v>
      </c>
      <c r="H72" s="2">
        <v>90</v>
      </c>
      <c r="I72" s="2"/>
    </row>
    <row r="73" spans="2:9" x14ac:dyDescent="0.3">
      <c r="B73" s="2">
        <v>3</v>
      </c>
      <c r="C73" s="2">
        <v>17.100000000000001</v>
      </c>
      <c r="D73" s="2">
        <v>20.6</v>
      </c>
      <c r="E73" s="2">
        <v>3.5</v>
      </c>
      <c r="G73" s="2" t="s">
        <v>149</v>
      </c>
      <c r="H73" s="2">
        <v>90</v>
      </c>
      <c r="I73" s="2"/>
    </row>
    <row r="74" spans="2:9" x14ac:dyDescent="0.3">
      <c r="B74" s="2" t="s">
        <v>137</v>
      </c>
      <c r="C74" s="2">
        <v>17.399999999999999</v>
      </c>
      <c r="D74" s="2">
        <v>22.21</v>
      </c>
      <c r="E74" s="2">
        <v>4.8099999999999996</v>
      </c>
      <c r="G74" s="2" t="s">
        <v>150</v>
      </c>
      <c r="H74" s="2">
        <v>83.33</v>
      </c>
      <c r="I74" s="2"/>
    </row>
    <row r="75" spans="2:9" x14ac:dyDescent="0.3">
      <c r="G75" s="2" t="s">
        <v>184</v>
      </c>
      <c r="H75" s="2">
        <v>87.78</v>
      </c>
      <c r="I75" s="2"/>
    </row>
    <row r="76" spans="2:9" x14ac:dyDescent="0.3">
      <c r="G76" s="2"/>
      <c r="H76" s="2"/>
      <c r="I76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8F08B-BEDD-4F29-A074-6AF3BCE5809F}">
  <dimension ref="C4:L26"/>
  <sheetViews>
    <sheetView tabSelected="1" topLeftCell="C1" zoomScale="91" workbookViewId="0">
      <selection activeCell="J18" sqref="J18"/>
    </sheetView>
  </sheetViews>
  <sheetFormatPr defaultRowHeight="15.6" x14ac:dyDescent="0.3"/>
  <cols>
    <col min="1" max="2" width="8.88671875" style="1"/>
    <col min="3" max="3" width="21.44140625" style="1" customWidth="1"/>
    <col min="4" max="4" width="22" style="1" customWidth="1"/>
    <col min="5" max="5" width="16.21875" style="1" customWidth="1"/>
    <col min="6" max="6" width="25.33203125" style="1" customWidth="1"/>
    <col min="7" max="7" width="26.77734375" style="1" customWidth="1"/>
    <col min="8" max="8" width="17.33203125" style="1" customWidth="1"/>
    <col min="9" max="10" width="22" style="1" customWidth="1"/>
    <col min="11" max="11" width="23.109375" style="1" customWidth="1"/>
    <col min="12" max="12" width="12.6640625" style="1" customWidth="1"/>
    <col min="13" max="14" width="8.88671875" style="1"/>
    <col min="15" max="15" width="20.6640625" style="1" customWidth="1"/>
    <col min="16" max="16" width="30.21875" style="1" customWidth="1"/>
    <col min="17" max="17" width="34.5546875" style="1" customWidth="1"/>
    <col min="18" max="18" width="35.21875" style="1" customWidth="1"/>
    <col min="19" max="16384" width="8.88671875" style="1"/>
  </cols>
  <sheetData>
    <row r="4" spans="3:12" x14ac:dyDescent="0.3">
      <c r="C4" s="2" t="s">
        <v>121</v>
      </c>
      <c r="D4" s="3" t="s">
        <v>122</v>
      </c>
      <c r="E4" s="3" t="s">
        <v>123</v>
      </c>
      <c r="F4" s="3" t="s">
        <v>124</v>
      </c>
      <c r="G4" s="3" t="s">
        <v>125</v>
      </c>
      <c r="H4" s="3" t="s">
        <v>126</v>
      </c>
      <c r="I4" s="3" t="s">
        <v>127</v>
      </c>
      <c r="J4" s="3" t="s">
        <v>202</v>
      </c>
      <c r="K4" s="3" t="s">
        <v>128</v>
      </c>
      <c r="L4" s="3" t="s">
        <v>129</v>
      </c>
    </row>
    <row r="5" spans="3:12" x14ac:dyDescent="0.3">
      <c r="C5" s="4" t="s">
        <v>130</v>
      </c>
      <c r="D5" s="5">
        <v>41.073999999999998</v>
      </c>
      <c r="E5" s="5">
        <v>5.5</v>
      </c>
      <c r="F5" s="5">
        <v>46.573999999999998</v>
      </c>
      <c r="G5" s="5">
        <v>46.073999999999998</v>
      </c>
      <c r="H5" s="5">
        <v>0.5</v>
      </c>
      <c r="I5" s="5">
        <v>46.073999999999998</v>
      </c>
      <c r="J5" s="5">
        <v>5</v>
      </c>
      <c r="K5" s="5">
        <v>45.723999999999997</v>
      </c>
      <c r="L5" s="5">
        <v>0.35</v>
      </c>
    </row>
    <row r="6" spans="3:12" x14ac:dyDescent="0.3">
      <c r="C6" s="2" t="s">
        <v>94</v>
      </c>
      <c r="D6" s="5">
        <v>39.162999999999997</v>
      </c>
      <c r="E6" s="5">
        <v>5.36</v>
      </c>
      <c r="F6" s="5">
        <v>44.523000000000003</v>
      </c>
      <c r="G6" s="5">
        <v>44.162999999999997</v>
      </c>
      <c r="H6" s="5">
        <v>0.36</v>
      </c>
      <c r="I6" s="5">
        <v>44.162999999999997</v>
      </c>
      <c r="J6" s="5">
        <v>5</v>
      </c>
      <c r="K6" s="5">
        <v>43.787999999999997</v>
      </c>
      <c r="L6" s="5">
        <v>0.375</v>
      </c>
    </row>
    <row r="7" spans="3:12" x14ac:dyDescent="0.3">
      <c r="C7" s="6" t="s">
        <v>70</v>
      </c>
      <c r="D7" s="7">
        <f t="shared" ref="D7:L7" si="0">AVERAGE(D5:D6)</f>
        <v>40.118499999999997</v>
      </c>
      <c r="E7" s="6">
        <f t="shared" si="0"/>
        <v>5.43</v>
      </c>
      <c r="F7" s="7">
        <f t="shared" si="0"/>
        <v>45.548500000000004</v>
      </c>
      <c r="G7" s="7">
        <f t="shared" si="0"/>
        <v>45.118499999999997</v>
      </c>
      <c r="H7" s="6">
        <f t="shared" si="0"/>
        <v>0.43</v>
      </c>
      <c r="I7" s="7">
        <f t="shared" si="0"/>
        <v>45.118499999999997</v>
      </c>
      <c r="J7" s="7"/>
      <c r="K7" s="7">
        <f t="shared" si="0"/>
        <v>44.756</v>
      </c>
      <c r="L7" s="7">
        <f t="shared" si="0"/>
        <v>0.36249999999999999</v>
      </c>
    </row>
    <row r="8" spans="3:12" x14ac:dyDescent="0.3">
      <c r="C8" s="6" t="s">
        <v>9</v>
      </c>
      <c r="D8" s="7">
        <f t="shared" ref="D8:L8" si="1">_xlfn.STDEV.S(D5:D6)</f>
        <v>1.3512810588474933</v>
      </c>
      <c r="E8" s="7">
        <f t="shared" si="1"/>
        <v>9.8994949366116428E-2</v>
      </c>
      <c r="F8" s="7">
        <f t="shared" si="1"/>
        <v>1.4502760082136052</v>
      </c>
      <c r="G8" s="7">
        <f t="shared" si="1"/>
        <v>1.3512810588474933</v>
      </c>
      <c r="H8" s="7">
        <f t="shared" si="1"/>
        <v>9.8994949366116816E-2</v>
      </c>
      <c r="I8" s="7">
        <f t="shared" si="1"/>
        <v>1.3512810588474933</v>
      </c>
      <c r="J8" s="7"/>
      <c r="K8" s="7">
        <f t="shared" si="1"/>
        <v>1.368958728377156</v>
      </c>
      <c r="L8" s="7">
        <f t="shared" si="1"/>
        <v>1.7677669529663705E-2</v>
      </c>
    </row>
    <row r="9" spans="3:12" x14ac:dyDescent="0.3">
      <c r="C9" s="2"/>
      <c r="D9" s="5"/>
      <c r="E9" s="5"/>
      <c r="F9" s="5"/>
      <c r="G9" s="5"/>
      <c r="H9" s="5"/>
      <c r="I9" s="5"/>
      <c r="J9" s="5"/>
      <c r="K9" s="5"/>
      <c r="L9" s="5"/>
    </row>
    <row r="10" spans="3:12" x14ac:dyDescent="0.3">
      <c r="C10" s="4" t="s">
        <v>131</v>
      </c>
      <c r="D10" s="5">
        <v>61.954999999999998</v>
      </c>
      <c r="E10" s="5">
        <v>5.78</v>
      </c>
      <c r="F10" s="5">
        <v>67.734999999999999</v>
      </c>
      <c r="G10" s="5">
        <v>66.954999999999998</v>
      </c>
      <c r="H10" s="5">
        <v>0.78</v>
      </c>
      <c r="I10" s="5">
        <v>66.954999999999998</v>
      </c>
      <c r="J10" s="5">
        <v>5</v>
      </c>
      <c r="K10" s="5">
        <v>66.614999999999995</v>
      </c>
      <c r="L10" s="5">
        <v>0.34</v>
      </c>
    </row>
    <row r="11" spans="3:12" x14ac:dyDescent="0.3">
      <c r="C11" s="2" t="s">
        <v>132</v>
      </c>
      <c r="D11" s="5">
        <v>60.709000000000003</v>
      </c>
      <c r="E11" s="5">
        <v>6.8860000000000001</v>
      </c>
      <c r="F11" s="5">
        <v>67.594999999999999</v>
      </c>
      <c r="G11" s="5">
        <v>66.954999999999998</v>
      </c>
      <c r="H11" s="5">
        <v>0.64</v>
      </c>
      <c r="I11" s="5">
        <v>66.954999999999998</v>
      </c>
      <c r="J11" s="5">
        <v>5</v>
      </c>
      <c r="K11" s="5">
        <v>65.253</v>
      </c>
      <c r="L11" s="5">
        <v>0.45600000000000002</v>
      </c>
    </row>
    <row r="12" spans="3:12" x14ac:dyDescent="0.3">
      <c r="C12" s="6" t="s">
        <v>70</v>
      </c>
      <c r="D12" s="7">
        <f t="shared" ref="D12:L12" si="2">AVERAGE(D10:D11)</f>
        <v>61.332000000000001</v>
      </c>
      <c r="E12" s="7">
        <f t="shared" si="2"/>
        <v>6.3330000000000002</v>
      </c>
      <c r="F12" s="7">
        <f t="shared" si="2"/>
        <v>67.664999999999992</v>
      </c>
      <c r="G12" s="6">
        <f t="shared" si="2"/>
        <v>66.954999999999998</v>
      </c>
      <c r="H12" s="6">
        <f t="shared" si="2"/>
        <v>0.71</v>
      </c>
      <c r="I12" s="7">
        <f t="shared" si="2"/>
        <v>66.954999999999998</v>
      </c>
      <c r="J12" s="7"/>
      <c r="K12" s="7">
        <f t="shared" si="2"/>
        <v>65.933999999999997</v>
      </c>
      <c r="L12" s="7">
        <f t="shared" si="2"/>
        <v>0.39800000000000002</v>
      </c>
    </row>
    <row r="13" spans="3:12" x14ac:dyDescent="0.3">
      <c r="C13" s="6" t="s">
        <v>9</v>
      </c>
      <c r="D13" s="8">
        <f t="shared" ref="D13:L13" si="3">_xlfn.STDEV.S(D10:D11)</f>
        <v>0.88105504935843471</v>
      </c>
      <c r="E13" s="8">
        <f t="shared" si="3"/>
        <v>0.78206009999232151</v>
      </c>
      <c r="F13" s="8">
        <f t="shared" si="3"/>
        <v>9.8994949366117052E-2</v>
      </c>
      <c r="G13" s="6">
        <f t="shared" si="3"/>
        <v>0</v>
      </c>
      <c r="H13" s="8">
        <f t="shared" si="3"/>
        <v>9.8994949366116664E-2</v>
      </c>
      <c r="I13" s="6">
        <f t="shared" si="3"/>
        <v>0</v>
      </c>
      <c r="J13" s="6"/>
      <c r="K13" s="8">
        <f t="shared" si="3"/>
        <v>0.96307943597607404</v>
      </c>
      <c r="L13" s="8">
        <f t="shared" si="3"/>
        <v>8.2024386617639583E-2</v>
      </c>
    </row>
    <row r="14" spans="3:12" x14ac:dyDescent="0.3">
      <c r="C14" s="2"/>
      <c r="D14" s="5"/>
      <c r="E14" s="5"/>
      <c r="F14" s="5"/>
      <c r="G14" s="5"/>
      <c r="H14" s="5"/>
      <c r="I14" s="5"/>
      <c r="J14" s="5"/>
      <c r="K14" s="5"/>
      <c r="L14" s="5"/>
    </row>
    <row r="18" spans="3:5" x14ac:dyDescent="0.3">
      <c r="C18" s="2" t="s">
        <v>110</v>
      </c>
      <c r="D18" s="2" t="s">
        <v>189</v>
      </c>
      <c r="E18" s="2" t="s">
        <v>190</v>
      </c>
    </row>
    <row r="19" spans="3:5" x14ac:dyDescent="0.3">
      <c r="C19" s="2" t="s">
        <v>130</v>
      </c>
      <c r="D19" s="28">
        <v>9.0899999999999995E-2</v>
      </c>
      <c r="E19" s="28">
        <v>7.0000000000000007E-2</v>
      </c>
    </row>
    <row r="20" spans="3:5" x14ac:dyDescent="0.3">
      <c r="C20" s="2" t="s">
        <v>185</v>
      </c>
      <c r="D20" s="28">
        <v>6.7100000000000007E-2</v>
      </c>
      <c r="E20" s="28">
        <v>7.4999999999999997E-2</v>
      </c>
    </row>
    <row r="21" spans="3:5" x14ac:dyDescent="0.3">
      <c r="C21" s="2" t="s">
        <v>186</v>
      </c>
      <c r="D21" s="28"/>
      <c r="E21" s="2"/>
    </row>
    <row r="22" spans="3:5" x14ac:dyDescent="0.3">
      <c r="C22" s="2" t="s">
        <v>9</v>
      </c>
      <c r="D22" s="2"/>
      <c r="E22" s="2"/>
    </row>
    <row r="23" spans="3:5" x14ac:dyDescent="0.3">
      <c r="C23" s="2" t="s">
        <v>187</v>
      </c>
      <c r="D23" s="28">
        <v>0.13489999999999999</v>
      </c>
      <c r="E23" s="28">
        <v>6.8000000000000005E-2</v>
      </c>
    </row>
    <row r="24" spans="3:5" x14ac:dyDescent="0.3">
      <c r="C24" s="2" t="s">
        <v>188</v>
      </c>
      <c r="D24" s="28">
        <v>9.2899999999999996E-2</v>
      </c>
      <c r="E24" s="28">
        <v>9.1200000000000003E-2</v>
      </c>
    </row>
    <row r="25" spans="3:5" x14ac:dyDescent="0.3">
      <c r="C25" s="2" t="s">
        <v>186</v>
      </c>
      <c r="D25" s="2"/>
      <c r="E25" s="2"/>
    </row>
    <row r="26" spans="3:5" x14ac:dyDescent="0.3">
      <c r="C26" s="2" t="s">
        <v>20</v>
      </c>
      <c r="D26" s="2"/>
      <c r="E2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436BE-D245-477C-AB8F-56E487FB47BB}">
  <dimension ref="C4:L18"/>
  <sheetViews>
    <sheetView zoomScale="64" workbookViewId="0">
      <selection activeCell="G29" sqref="G29"/>
    </sheetView>
  </sheetViews>
  <sheetFormatPr defaultRowHeight="15.6" x14ac:dyDescent="0.3"/>
  <cols>
    <col min="1" max="2" width="8.88671875" style="1"/>
    <col min="3" max="3" width="13.5546875" style="1" customWidth="1"/>
    <col min="4" max="4" width="17.33203125" style="1" customWidth="1"/>
    <col min="5" max="5" width="19.5546875" style="1" customWidth="1"/>
    <col min="6" max="6" width="33.5546875" style="1" customWidth="1"/>
    <col min="7" max="7" width="35.109375" style="1" customWidth="1"/>
    <col min="8" max="8" width="18.44140625" style="1" customWidth="1"/>
    <col min="9" max="9" width="33.77734375" style="1" customWidth="1"/>
    <col min="10" max="10" width="29.6640625" style="1" customWidth="1"/>
    <col min="11" max="11" width="33.6640625" style="1" customWidth="1"/>
    <col min="12" max="12" width="21.77734375" style="1" customWidth="1"/>
    <col min="13" max="13" width="8.88671875" style="1"/>
    <col min="14" max="14" width="26.6640625" style="1" customWidth="1"/>
    <col min="15" max="15" width="25.44140625" style="1" customWidth="1"/>
    <col min="16" max="16" width="26.33203125" style="1" customWidth="1"/>
    <col min="17" max="17" width="24.44140625" style="1" customWidth="1"/>
    <col min="18" max="18" width="25" style="1" customWidth="1"/>
    <col min="19" max="16384" width="8.88671875" style="1"/>
  </cols>
  <sheetData>
    <row r="4" spans="3:12" x14ac:dyDescent="0.3">
      <c r="C4" s="1" t="s">
        <v>134</v>
      </c>
    </row>
    <row r="6" spans="3:12" x14ac:dyDescent="0.3">
      <c r="C6" s="2" t="s">
        <v>110</v>
      </c>
      <c r="D6" s="2" t="s">
        <v>133</v>
      </c>
      <c r="E6" s="2" t="s">
        <v>196</v>
      </c>
      <c r="F6" s="2" t="s">
        <v>197</v>
      </c>
      <c r="G6" s="2" t="s">
        <v>198</v>
      </c>
      <c r="H6" s="2" t="s">
        <v>129</v>
      </c>
      <c r="I6" s="2" t="s">
        <v>199</v>
      </c>
      <c r="J6" s="2" t="s">
        <v>200</v>
      </c>
      <c r="K6" s="2" t="s">
        <v>201</v>
      </c>
      <c r="L6" s="2" t="s">
        <v>129</v>
      </c>
    </row>
    <row r="7" spans="3:12" x14ac:dyDescent="0.3">
      <c r="C7" s="2" t="s">
        <v>194</v>
      </c>
      <c r="D7" s="2">
        <v>14.710699999999999</v>
      </c>
      <c r="E7" s="2">
        <v>5.0034999999999998</v>
      </c>
      <c r="F7" s="2">
        <v>19.714200000000002</v>
      </c>
      <c r="G7" s="2">
        <v>19.677</v>
      </c>
      <c r="H7" s="2">
        <v>3.7199999999999997E-2</v>
      </c>
      <c r="I7" s="2">
        <v>16.961500000000001</v>
      </c>
      <c r="J7" s="2">
        <v>2.2507999999999999</v>
      </c>
      <c r="K7" s="2">
        <v>15.535600000000001</v>
      </c>
      <c r="L7" s="2">
        <v>1.4258999999999999</v>
      </c>
    </row>
    <row r="8" spans="3:12" x14ac:dyDescent="0.3">
      <c r="C8" s="2" t="s">
        <v>192</v>
      </c>
      <c r="D8" s="2">
        <v>11.8514</v>
      </c>
      <c r="E8" s="2">
        <v>5.0143000000000004</v>
      </c>
      <c r="F8" s="2">
        <v>16.8657</v>
      </c>
      <c r="G8" s="2">
        <v>16.810099999999998</v>
      </c>
      <c r="H8" s="2">
        <v>5.5599999999999997E-2</v>
      </c>
      <c r="I8" s="2">
        <v>14.025399999999999</v>
      </c>
      <c r="J8" s="2">
        <v>2.1739999999999999</v>
      </c>
      <c r="K8" s="2">
        <v>12.6534</v>
      </c>
      <c r="L8" s="2">
        <v>1.3720000000000001</v>
      </c>
    </row>
    <row r="9" spans="3:12" x14ac:dyDescent="0.3">
      <c r="C9" s="2" t="s">
        <v>195</v>
      </c>
      <c r="D9" s="2">
        <v>12.519399999999999</v>
      </c>
      <c r="E9" s="2">
        <v>5.0091000000000001</v>
      </c>
      <c r="F9" s="2">
        <v>17.522500000000001</v>
      </c>
      <c r="G9" s="2">
        <v>17.465399999999999</v>
      </c>
      <c r="H9" s="2">
        <v>5.7099999999999998E-2</v>
      </c>
      <c r="I9" s="2">
        <v>14.6274</v>
      </c>
      <c r="J9" s="2">
        <v>2.1080000000000001</v>
      </c>
      <c r="K9" s="2">
        <v>13.275499999999999</v>
      </c>
      <c r="L9" s="2">
        <v>1.3519000000000001</v>
      </c>
    </row>
    <row r="10" spans="3:12" x14ac:dyDescent="0.3">
      <c r="C10" s="2"/>
      <c r="D10" s="2"/>
      <c r="E10" s="2"/>
      <c r="F10" s="2"/>
      <c r="G10" s="2"/>
      <c r="H10" s="2"/>
      <c r="I10" s="2"/>
      <c r="J10" s="2"/>
      <c r="K10" s="2"/>
      <c r="L10" s="2"/>
    </row>
    <row r="13" spans="3:12" x14ac:dyDescent="0.3">
      <c r="C13" s="2" t="s">
        <v>110</v>
      </c>
      <c r="D13" s="2" t="s">
        <v>189</v>
      </c>
      <c r="E13" s="2" t="s">
        <v>190</v>
      </c>
    </row>
    <row r="14" spans="3:12" x14ac:dyDescent="0.3">
      <c r="C14" s="2" t="s">
        <v>191</v>
      </c>
      <c r="D14" s="28">
        <v>7.4000000000000003E-3</v>
      </c>
      <c r="E14" s="28">
        <v>0.63349999999999995</v>
      </c>
    </row>
    <row r="15" spans="3:12" x14ac:dyDescent="0.3">
      <c r="C15" s="2" t="s">
        <v>192</v>
      </c>
      <c r="D15" s="28">
        <v>1.0999999999999999E-2</v>
      </c>
      <c r="E15" s="28">
        <v>0.63100000000000001</v>
      </c>
    </row>
    <row r="16" spans="3:12" x14ac:dyDescent="0.3">
      <c r="C16" s="2" t="s">
        <v>193</v>
      </c>
      <c r="D16" s="28">
        <v>1.1299999999999999E-2</v>
      </c>
      <c r="E16" s="28">
        <v>0.64129999999999998</v>
      </c>
    </row>
    <row r="17" spans="3:5" x14ac:dyDescent="0.3">
      <c r="C17" s="2" t="s">
        <v>8</v>
      </c>
      <c r="D17" s="2"/>
      <c r="E17" s="2"/>
    </row>
    <row r="18" spans="3:5" x14ac:dyDescent="0.3">
      <c r="C18" s="2" t="s">
        <v>9</v>
      </c>
      <c r="D18" s="2"/>
      <c r="E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water quality </vt:lpstr>
      <vt:lpstr>sea cucumber growth </vt:lpstr>
      <vt:lpstr>sea weed growth </vt:lpstr>
      <vt:lpstr>Soil organic content </vt:lpstr>
      <vt:lpstr>proximate analysis seaweed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KARUNAKARAN</dc:creator>
  <cp:lastModifiedBy>KARUNAKARAN</cp:lastModifiedBy>
  <dcterms:created xsi:type="dcterms:W3CDTF">2026-04-06T08:24:17Z</dcterms:created>
  <dcterms:modified xsi:type="dcterms:W3CDTF">2026-05-03T13:30:03Z</dcterms:modified>
</cp:coreProperties>
</file>